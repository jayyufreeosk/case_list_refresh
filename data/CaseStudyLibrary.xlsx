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y.yu\Documents\Git\case_list_refresh\Case Study Library\"/>
    </mc:Choice>
  </mc:AlternateContent>
  <xr:revisionPtr revIDLastSave="0" documentId="13_ncr:1_{18B0B1A9-EC91-456D-90E9-0925D8C774AF}" xr6:coauthVersionLast="44" xr6:coauthVersionMax="44" xr10:uidLastSave="{00000000-0000-0000-0000-000000000000}"/>
  <bookViews>
    <workbookView xWindow="-120" yWindow="-120" windowWidth="29040" windowHeight="15840" activeTab="1" xr2:uid="{A36C5475-2212-4066-A81B-509ADC243B15}"/>
  </bookViews>
  <sheets>
    <sheet name="Info" sheetId="5" r:id="rId1"/>
    <sheet name="Listing" sheetId="2" r:id="rId2"/>
  </sheets>
  <externalReferences>
    <externalReference r:id="rId3"/>
  </externalReferences>
  <definedNames>
    <definedName name="mod_config">OFFSET(INDIRECT("c_parse_cfg!$A$7"),0,0,[1]c_inputs!$B$13,1)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5" l="1"/>
  <c r="AG110" i="2"/>
  <c r="AG123" i="2"/>
  <c r="AG116" i="2"/>
  <c r="AG160" i="2"/>
  <c r="AG62" i="2"/>
  <c r="AG57" i="2"/>
  <c r="AG155" i="2"/>
  <c r="AG162" i="2"/>
  <c r="AG133" i="2"/>
  <c r="AG46" i="2"/>
  <c r="AG111" i="2"/>
  <c r="AG70" i="2"/>
  <c r="AG44" i="2"/>
  <c r="AG47" i="2"/>
  <c r="AG85" i="2"/>
  <c r="AG150" i="2"/>
  <c r="AG168" i="2"/>
  <c r="AG137" i="2"/>
  <c r="AG117" i="2"/>
  <c r="AG7" i="2"/>
  <c r="AG136" i="2"/>
  <c r="B136" i="2"/>
  <c r="B110" i="2"/>
  <c r="B123" i="2"/>
  <c r="B116" i="2"/>
  <c r="B160" i="2"/>
  <c r="B62" i="2"/>
  <c r="B57" i="2"/>
  <c r="B155" i="2"/>
  <c r="B162" i="2"/>
  <c r="B133" i="2"/>
  <c r="B46" i="2"/>
  <c r="B111" i="2"/>
  <c r="B70" i="2"/>
  <c r="B44" i="2"/>
  <c r="B47" i="2"/>
  <c r="B85" i="2"/>
  <c r="B150" i="2"/>
  <c r="B168" i="2"/>
  <c r="B137" i="2"/>
  <c r="B117" i="2"/>
  <c r="B7" i="2"/>
  <c r="B17" i="5"/>
  <c r="I28" i="5"/>
  <c r="M24" i="5"/>
  <c r="G29" i="5"/>
  <c r="C17" i="5"/>
  <c r="B15" i="5"/>
  <c r="H25" i="5"/>
  <c r="B19" i="5"/>
  <c r="M28" i="5"/>
  <c r="I24" i="5"/>
  <c r="C16" i="5"/>
  <c r="C13" i="5"/>
  <c r="C14" i="5"/>
  <c r="M29" i="5"/>
  <c r="K25" i="5"/>
  <c r="G28" i="5"/>
  <c r="B9" i="5"/>
  <c r="K24" i="5"/>
  <c r="G27" i="5"/>
  <c r="C19" i="5"/>
  <c r="C18" i="5"/>
  <c r="K28" i="5"/>
  <c r="C15" i="5"/>
  <c r="C9" i="5"/>
  <c r="C11" i="5"/>
  <c r="J29" i="5"/>
  <c r="B12" i="5"/>
  <c r="B18" i="5"/>
  <c r="H27" i="5"/>
  <c r="K29" i="5"/>
  <c r="L29" i="5"/>
  <c r="G25" i="5"/>
  <c r="I29" i="5"/>
  <c r="B20" i="5"/>
  <c r="C12" i="5"/>
  <c r="B13" i="5"/>
  <c r="H24" i="5"/>
  <c r="M27" i="5"/>
  <c r="L24" i="5"/>
  <c r="J28" i="5"/>
  <c r="I25" i="5"/>
  <c r="J25" i="5"/>
  <c r="J27" i="5"/>
  <c r="B11" i="5"/>
  <c r="K27" i="5"/>
  <c r="G24" i="5"/>
  <c r="L25" i="5"/>
  <c r="H29" i="5"/>
  <c r="L27" i="5"/>
  <c r="C20" i="5"/>
  <c r="B10" i="5"/>
  <c r="L28" i="5"/>
  <c r="C10" i="5"/>
  <c r="B21" i="5"/>
  <c r="M25" i="5"/>
  <c r="B14" i="5"/>
  <c r="H28" i="5"/>
  <c r="B16" i="5"/>
  <c r="J24" i="5"/>
  <c r="I27" i="5"/>
  <c r="C21" i="5"/>
  <c r="B18" i="2" l="1"/>
  <c r="B73" i="2"/>
  <c r="B54" i="2"/>
  <c r="B146" i="2"/>
  <c r="B22" i="2"/>
  <c r="B124" i="2"/>
  <c r="B61" i="2"/>
  <c r="B23" i="2"/>
  <c r="B11" i="2"/>
  <c r="B31" i="2"/>
  <c r="B101" i="2"/>
  <c r="B42" i="2"/>
  <c r="B122" i="2"/>
  <c r="B170" i="2"/>
  <c r="B88" i="2"/>
  <c r="B25" i="2"/>
  <c r="B10" i="2"/>
  <c r="B63" i="2"/>
  <c r="B17" i="2"/>
  <c r="B71" i="2"/>
  <c r="B34" i="2"/>
  <c r="B104" i="2"/>
  <c r="B26" i="2"/>
  <c r="B5" i="2"/>
  <c r="B14" i="2"/>
  <c r="B16" i="2"/>
  <c r="B9" i="2"/>
  <c r="B153" i="2"/>
  <c r="B152" i="2"/>
  <c r="B113" i="2"/>
  <c r="B167" i="2"/>
  <c r="B148" i="2"/>
  <c r="B161" i="2"/>
  <c r="B151" i="2"/>
  <c r="B164" i="2"/>
  <c r="B86" i="2"/>
  <c r="B141" i="2"/>
  <c r="B21" i="2"/>
  <c r="B87" i="2"/>
  <c r="B172" i="2"/>
  <c r="B95" i="2"/>
  <c r="B159" i="2"/>
  <c r="B169" i="2"/>
  <c r="B30" i="2"/>
  <c r="B78" i="2"/>
  <c r="B72" i="2"/>
  <c r="B49" i="2"/>
  <c r="B83" i="2"/>
  <c r="B134" i="2"/>
  <c r="B38" i="2"/>
  <c r="B118" i="2"/>
  <c r="B92" i="2"/>
  <c r="B56" i="2"/>
  <c r="B4" i="2"/>
  <c r="B52" i="2"/>
  <c r="B29" i="2"/>
  <c r="B89" i="2"/>
  <c r="B55" i="2"/>
  <c r="B67" i="2"/>
  <c r="B41" i="2"/>
  <c r="B76" i="2"/>
  <c r="B145" i="2"/>
  <c r="B12" i="2"/>
  <c r="B37" i="2"/>
  <c r="B40" i="2"/>
  <c r="B15" i="2"/>
  <c r="B39" i="2"/>
  <c r="B53" i="2"/>
  <c r="B91" i="2"/>
  <c r="B138" i="2"/>
  <c r="B51" i="2"/>
  <c r="B27" i="2"/>
  <c r="B20" i="2"/>
  <c r="B36" i="2"/>
  <c r="B59" i="2"/>
  <c r="B35" i="2"/>
  <c r="B142" i="2"/>
  <c r="B66" i="2"/>
  <c r="B127" i="2"/>
  <c r="B109" i="2"/>
  <c r="B65" i="2"/>
  <c r="B129" i="2"/>
  <c r="B128" i="2"/>
  <c r="B96" i="2"/>
  <c r="B82" i="2"/>
  <c r="B43" i="2"/>
  <c r="B156" i="2"/>
  <c r="B80" i="2"/>
  <c r="B135" i="2"/>
  <c r="B131" i="2"/>
  <c r="B33" i="2"/>
  <c r="B149" i="2"/>
  <c r="B90" i="2"/>
  <c r="B45" i="2"/>
  <c r="B163" i="2"/>
  <c r="B108" i="2"/>
  <c r="B103" i="2"/>
  <c r="B114" i="2"/>
  <c r="B154" i="2"/>
  <c r="B115" i="2"/>
  <c r="B166" i="2"/>
  <c r="B121" i="2"/>
  <c r="B120" i="2"/>
  <c r="B140" i="2"/>
  <c r="B112" i="2"/>
  <c r="B50" i="2"/>
  <c r="B74" i="2"/>
  <c r="B84" i="2"/>
  <c r="B64" i="2"/>
  <c r="B2" i="2"/>
  <c r="B8" i="2"/>
  <c r="B79" i="2"/>
  <c r="B119" i="2"/>
  <c r="B100" i="2"/>
  <c r="B102" i="2"/>
  <c r="B28" i="2"/>
  <c r="B24" i="2"/>
  <c r="B13" i="2"/>
  <c r="B58" i="2"/>
  <c r="B48" i="2"/>
  <c r="B32" i="2"/>
  <c r="B171" i="2"/>
  <c r="B165" i="2"/>
  <c r="B139" i="2"/>
  <c r="B126" i="2"/>
  <c r="B99" i="2"/>
  <c r="B130" i="2"/>
  <c r="B147" i="2"/>
  <c r="B97" i="2"/>
  <c r="B157" i="2"/>
  <c r="B75" i="2"/>
  <c r="B19" i="2"/>
  <c r="B6" i="2"/>
  <c r="B125" i="2"/>
  <c r="B69" i="2"/>
  <c r="B105" i="2"/>
  <c r="B68" i="2"/>
  <c r="B3" i="2"/>
  <c r="B98" i="2"/>
  <c r="B158" i="2"/>
  <c r="B81" i="2"/>
  <c r="B132" i="2"/>
  <c r="B77" i="2"/>
  <c r="B60" i="2"/>
  <c r="B106" i="2"/>
  <c r="B94" i="2"/>
  <c r="B143" i="2"/>
  <c r="B107" i="2"/>
  <c r="B144" i="2"/>
  <c r="B93" i="2"/>
</calcChain>
</file>

<file path=xl/sharedStrings.xml><?xml version="1.0" encoding="utf-8"?>
<sst xmlns="http://schemas.openxmlformats.org/spreadsheetml/2006/main" count="2149" uniqueCount="892">
  <si>
    <t>Program</t>
  </si>
  <si>
    <t>FSC18016_608210_20180330_12.zip</t>
  </si>
  <si>
    <t>Weeks post</t>
  </si>
  <si>
    <t>Start date</t>
  </si>
  <si>
    <t>End date</t>
  </si>
  <si>
    <t>Item number</t>
  </si>
  <si>
    <t>Item description</t>
  </si>
  <si>
    <t>Category</t>
  </si>
  <si>
    <t>Subcategory</t>
  </si>
  <si>
    <t>Category Num</t>
  </si>
  <si>
    <t>Subcat Num</t>
  </si>
  <si>
    <t>Freeosk clubs</t>
  </si>
  <si>
    <t>Control clubs</t>
  </si>
  <si>
    <t>Transactions</t>
  </si>
  <si>
    <t>Scans</t>
  </si>
  <si>
    <t>Traffic/club</t>
  </si>
  <si>
    <t>Scans/club</t>
  </si>
  <si>
    <t>Engagement</t>
  </si>
  <si>
    <t>Conversion</t>
  </si>
  <si>
    <t>Repeat</t>
  </si>
  <si>
    <t>Immediate</t>
  </si>
  <si>
    <t>A%</t>
  </si>
  <si>
    <t>B%</t>
  </si>
  <si>
    <t>C%</t>
  </si>
  <si>
    <t>Freeosk Lift</t>
  </si>
  <si>
    <t>Control Lift</t>
  </si>
  <si>
    <t>merchandising_type</t>
  </si>
  <si>
    <t>placement_type</t>
  </si>
  <si>
    <t>Program2</t>
  </si>
  <si>
    <t>Unique Identifier</t>
  </si>
  <si>
    <t>Food</t>
  </si>
  <si>
    <t>FSC18113_281210_20181207_12.zip</t>
  </si>
  <si>
    <t>281210</t>
  </si>
  <si>
    <t>SALMON OIL</t>
  </si>
  <si>
    <t>OTC</t>
  </si>
  <si>
    <t>Omega Oils</t>
  </si>
  <si>
    <t>Tier 1 - Merchandised</t>
  </si>
  <si>
    <t>Non Dispense TIS</t>
  </si>
  <si>
    <t>FSC18113</t>
  </si>
  <si>
    <t>FSC1811343441</t>
  </si>
  <si>
    <t>12W</t>
  </si>
  <si>
    <t>Sample</t>
  </si>
  <si>
    <t>Yes</t>
  </si>
  <si>
    <t>FSC18113_567934_20181207_12.zip</t>
  </si>
  <si>
    <t>567934</t>
  </si>
  <si>
    <t>MM FACIAL CUBE 12PK</t>
  </si>
  <si>
    <t>PAPER GOODS</t>
  </si>
  <si>
    <t>Facial Tissue</t>
  </si>
  <si>
    <t>No</t>
  </si>
  <si>
    <t>FSC18043_281210_20180601_12.zip</t>
  </si>
  <si>
    <t>FSC18043</t>
  </si>
  <si>
    <t>FSC1804343252</t>
  </si>
  <si>
    <t>FSC18043_567934_20180601_12.zip</t>
  </si>
  <si>
    <t>608210</t>
  </si>
  <si>
    <t>RICE KRSP TREAT 25CT</t>
  </si>
  <si>
    <t>COFFEE AND BREAKFAST</t>
  </si>
  <si>
    <t>Breakfast Bars</t>
  </si>
  <si>
    <t>Tier 1 - Sampled</t>
  </si>
  <si>
    <t>FSC18016</t>
  </si>
  <si>
    <t>FSC1801643189</t>
  </si>
  <si>
    <t>FSC18113_281210_20181123_12.zip</t>
  </si>
  <si>
    <t>FSC1811343427</t>
  </si>
  <si>
    <t>FSC18016_675774_20180330_12.zip</t>
  </si>
  <si>
    <t>675774</t>
  </si>
  <si>
    <t>RKT VARIETY 40CT</t>
  </si>
  <si>
    <t>FSC18113_567934_20181123_12.zip</t>
  </si>
  <si>
    <t>FSC18098_980114984_20181102_12.zip</t>
  </si>
  <si>
    <t>980114984</t>
  </si>
  <si>
    <t>MILANO DARK CHOC</t>
  </si>
  <si>
    <t>Snacks</t>
  </si>
  <si>
    <t>Cookies</t>
  </si>
  <si>
    <t>Sample + TIS</t>
  </si>
  <si>
    <t>FSC18098</t>
  </si>
  <si>
    <t>FSC1809843406</t>
  </si>
  <si>
    <t>FSC18093_11808_20181005_12.zip</t>
  </si>
  <si>
    <t>11808</t>
  </si>
  <si>
    <t>LISTERINE TTLCARE MW</t>
  </si>
  <si>
    <t>HEALTH AND BEAUTY AIDS</t>
  </si>
  <si>
    <t>Mouthwash</t>
  </si>
  <si>
    <t>FSC18093</t>
  </si>
  <si>
    <t>FSC1809343378</t>
  </si>
  <si>
    <t>FSC18038_980116456_20180601_12.zip</t>
  </si>
  <si>
    <t>980116456</t>
  </si>
  <si>
    <t>HUBBA BUBBA MAX</t>
  </si>
  <si>
    <t>CANDY - SNACKS - BUSINESS</t>
  </si>
  <si>
    <t>GUM</t>
  </si>
  <si>
    <t>FSC18038</t>
  </si>
  <si>
    <t>FSC1803843252</t>
  </si>
  <si>
    <t>FSC18093_944440_20181005_12.zip</t>
  </si>
  <si>
    <t>944440</t>
  </si>
  <si>
    <t>LISTERINE CL MINT MW</t>
  </si>
  <si>
    <t>FSC18038_608210_20180601_12.zip</t>
  </si>
  <si>
    <t>Kids Indulgent Bar</t>
  </si>
  <si>
    <t>LAUNDRY AND HOME CARE</t>
  </si>
  <si>
    <t>FSC18107_92801_20181207_12.zip</t>
  </si>
  <si>
    <t>92801</t>
  </si>
  <si>
    <t>NABISCO 2CT VTY PK</t>
  </si>
  <si>
    <t>FSC18107</t>
  </si>
  <si>
    <t>FSC1810743441</t>
  </si>
  <si>
    <t>980058839</t>
  </si>
  <si>
    <t>SMARTYPANTS VITAMINS</t>
  </si>
  <si>
    <t>Child Multivitamins</t>
  </si>
  <si>
    <t>FSC18018_709743_20180525_12.zip</t>
  </si>
  <si>
    <t>709743</t>
  </si>
  <si>
    <t>AIRHEADS ASSORTED</t>
  </si>
  <si>
    <t>MULTIPACK CORE</t>
  </si>
  <si>
    <t>FSC18018</t>
  </si>
  <si>
    <t>FSC1801843245</t>
  </si>
  <si>
    <t>FSC18100_850895_20181115_12.zip</t>
  </si>
  <si>
    <t>850895</t>
  </si>
  <si>
    <t>PLEDGE</t>
  </si>
  <si>
    <t>Furniture Polish</t>
  </si>
  <si>
    <t>FSC18100</t>
  </si>
  <si>
    <t>FSC1810043420</t>
  </si>
  <si>
    <t>FSC18018_190736_20180525_12.zip</t>
  </si>
  <si>
    <t>190736</t>
  </si>
  <si>
    <t>AIRHEADS BITES</t>
  </si>
  <si>
    <t>CT SUGAR</t>
  </si>
  <si>
    <t>FSC18101_724211_20181115_12.zip</t>
  </si>
  <si>
    <t>724211</t>
  </si>
  <si>
    <t>GLADE PLUGIN REFILLS</t>
  </si>
  <si>
    <t>Air Care</t>
  </si>
  <si>
    <t>FSC18101</t>
  </si>
  <si>
    <t>FSC1810143420</t>
  </si>
  <si>
    <t>FSC18018_705387_20180525_12.zip</t>
  </si>
  <si>
    <t>705387</t>
  </si>
  <si>
    <t>AIRHEAD XTREME BELTS</t>
  </si>
  <si>
    <t>FSC18035_850895_20180518_12.zip</t>
  </si>
  <si>
    <t>FSC18035</t>
  </si>
  <si>
    <t>FSC1803543238</t>
  </si>
  <si>
    <t>FSC18104_608210_20181019_12.zip</t>
  </si>
  <si>
    <t>FSC18104</t>
  </si>
  <si>
    <t>FSC1810443392</t>
  </si>
  <si>
    <t>FSC18010_788103_20180420_12.zip</t>
  </si>
  <si>
    <t>788103</t>
  </si>
  <si>
    <t>NW RETINOL CREAM</t>
  </si>
  <si>
    <t>Face Care</t>
  </si>
  <si>
    <t>FSC18010</t>
  </si>
  <si>
    <t>FSC1801043210</t>
  </si>
  <si>
    <t>FSC18125_92801_20190125_12.zip</t>
  </si>
  <si>
    <t>FSC18125</t>
  </si>
  <si>
    <t>FSC1812543490</t>
  </si>
  <si>
    <t>FSC18026_729234_20180427_12.zip</t>
  </si>
  <si>
    <t>729234</t>
  </si>
  <si>
    <t>ACTIVIA (S/P/B) 24</t>
  </si>
  <si>
    <t>COOLER</t>
  </si>
  <si>
    <t>Proactive Health</t>
  </si>
  <si>
    <t>Tier 1 - Other</t>
  </si>
  <si>
    <t>FSC18026</t>
  </si>
  <si>
    <t>FSC1802643217</t>
  </si>
  <si>
    <t>FSC18026_980010669_20180427_12.zip</t>
  </si>
  <si>
    <t>980010669</t>
  </si>
  <si>
    <t>MM DONUT SHOP 100 CT</t>
  </si>
  <si>
    <t>K Cups</t>
  </si>
  <si>
    <t>FSC18030_980088840_20180615_12.zip</t>
  </si>
  <si>
    <t>980088840</t>
  </si>
  <si>
    <t>KIND MINIS 32 CT</t>
  </si>
  <si>
    <t>Adult Nutrition Bar</t>
  </si>
  <si>
    <t>FSC18030</t>
  </si>
  <si>
    <t>FSC1803043266</t>
  </si>
  <si>
    <t>FSC18026_980075292_20180427_12.zip</t>
  </si>
  <si>
    <t>980075292</t>
  </si>
  <si>
    <t>ACTIVIA DAILIES 24CT</t>
  </si>
  <si>
    <t>FSC18088_92801_20181026_12.zip</t>
  </si>
  <si>
    <t>FSC18088</t>
  </si>
  <si>
    <t>FSC1808843399</t>
  </si>
  <si>
    <t>FSC18131_371722_20190315_12.zip</t>
  </si>
  <si>
    <t>371722</t>
  </si>
  <si>
    <t>NW COCONUT OIL CREAM</t>
  </si>
  <si>
    <t>Skin Care</t>
  </si>
  <si>
    <t>Non-Dispense TIS + OSO Ad (Product Mismatch)</t>
  </si>
  <si>
    <t>FSC18131</t>
  </si>
  <si>
    <t>FSC1813143539</t>
  </si>
  <si>
    <t>FSC18012_980096234_20180406_12.zip</t>
  </si>
  <si>
    <t>980096234</t>
  </si>
  <si>
    <t>BFAST SQUARE 18CT</t>
  </si>
  <si>
    <t>FSC18012</t>
  </si>
  <si>
    <t>FSC1801243196</t>
  </si>
  <si>
    <t>FSC18131_788103_20190315_12.zip</t>
  </si>
  <si>
    <t>FSC18075_567934_20181005_12.zip</t>
  </si>
  <si>
    <t>FSC18075</t>
  </si>
  <si>
    <t>FSC1807543378</t>
  </si>
  <si>
    <t>FSC18088_850799_20181026_12.zip</t>
  </si>
  <si>
    <t>850799</t>
  </si>
  <si>
    <t>ACT II BUTTER LOVERS</t>
  </si>
  <si>
    <t>Popcorn</t>
  </si>
  <si>
    <t>FSC18075_57091_20181005_12.zip</t>
  </si>
  <si>
    <t>57091</t>
  </si>
  <si>
    <t>OLLY RESTFUL SLEEP</t>
  </si>
  <si>
    <t>Analgesics</t>
  </si>
  <si>
    <t>FSC18075_57116_20181005_12.zip</t>
  </si>
  <si>
    <t>57116</t>
  </si>
  <si>
    <t>OLLY WOMENS MULTI</t>
  </si>
  <si>
    <t>Adult MultiVitamins</t>
  </si>
  <si>
    <t>FSC18075_57189_20181005_12.zip</t>
  </si>
  <si>
    <t>57189</t>
  </si>
  <si>
    <t>OLLY KIDS MULTI</t>
  </si>
  <si>
    <t>FSC18087_980136022_20181005_12.zip</t>
  </si>
  <si>
    <t>980136022</t>
  </si>
  <si>
    <t>JERG ULTRA HEALING</t>
  </si>
  <si>
    <t>FSC18087</t>
  </si>
  <si>
    <t>FSC1808743378</t>
  </si>
  <si>
    <t>FSC18027_271174_20180413_12.zip</t>
  </si>
  <si>
    <t>271174</t>
  </si>
  <si>
    <t>JERGENS ULT HEAL LTN</t>
  </si>
  <si>
    <t>FSC18027</t>
  </si>
  <si>
    <t>FSC1802743203</t>
  </si>
  <si>
    <t>FSC18036_283398_20180608_12.zip</t>
  </si>
  <si>
    <t>283398</t>
  </si>
  <si>
    <t>LISTERINE POCKETPAKS</t>
  </si>
  <si>
    <t>FSC18036</t>
  </si>
  <si>
    <t>FSC1803643259</t>
  </si>
  <si>
    <t>FSC18036_292255_20180608_12.zip</t>
  </si>
  <si>
    <t>292255</t>
  </si>
  <si>
    <t>COLGATE MAXFRESH TP</t>
  </si>
  <si>
    <t>Toothpaste</t>
  </si>
  <si>
    <t>FSC18036_37170_20180608_12.zip</t>
  </si>
  <si>
    <t>37170</t>
  </si>
  <si>
    <t>COLGATE TOTAL TB</t>
  </si>
  <si>
    <t>Toothbrush</t>
  </si>
  <si>
    <t>FSC18036_66683_20180608_12.zip</t>
  </si>
  <si>
    <t>66683</t>
  </si>
  <si>
    <t>COLGATE TOTAL WHT TP</t>
  </si>
  <si>
    <t>FSC18036_846162_20180608_12.zip</t>
  </si>
  <si>
    <t>846162</t>
  </si>
  <si>
    <t>COLGATE OPT WHITE TP</t>
  </si>
  <si>
    <t>FSC18081_980109044_20181012_12.zip</t>
  </si>
  <si>
    <t>980109044</t>
  </si>
  <si>
    <t>CLIF DUAL PACK 24 CT</t>
  </si>
  <si>
    <t>FSC18081</t>
  </si>
  <si>
    <t>FSC1808143385</t>
  </si>
  <si>
    <t>FSC18036_944440_20180608_12.zip</t>
  </si>
  <si>
    <t>FSC18081_728178_20181012_12.zip</t>
  </si>
  <si>
    <t>728178</t>
  </si>
  <si>
    <t>CLIF BUILDERS</t>
  </si>
  <si>
    <t>Nutrition Bars</t>
  </si>
  <si>
    <t>FSC18121_491913_20190111_12.zip</t>
  </si>
  <si>
    <t>491913</t>
  </si>
  <si>
    <t>GLADE PLUGINS 6+1</t>
  </si>
  <si>
    <t>FSC18121</t>
  </si>
  <si>
    <t>FSC1812143476</t>
  </si>
  <si>
    <t>FSC18098_980114984_20190111_12.zip</t>
  </si>
  <si>
    <t>FSC1809843476</t>
  </si>
  <si>
    <t>FSC18121_724211_20190111_12.zip</t>
  </si>
  <si>
    <t>FSC18126_980109044_20190125_12.zip</t>
  </si>
  <si>
    <t>FSC18126</t>
  </si>
  <si>
    <t>FSC1812643490</t>
  </si>
  <si>
    <t>FSC18121_980003636_20190111_12.zip</t>
  </si>
  <si>
    <t>980003636</t>
  </si>
  <si>
    <t>GLADE AUTO SPRAY REF</t>
  </si>
  <si>
    <t>FSC19004_980141899_20190308_12.zip</t>
  </si>
  <si>
    <t>980141899</t>
  </si>
  <si>
    <t>GOGO AS VARIETY 28PK</t>
  </si>
  <si>
    <t>OIL - RICE - FRUITS - VEGETABLES</t>
  </si>
  <si>
    <t>Fruit Pouches</t>
  </si>
  <si>
    <t xml:space="preserve">Non Dispense TIS </t>
  </si>
  <si>
    <t>FSC19004</t>
  </si>
  <si>
    <t>FSC1900443532</t>
  </si>
  <si>
    <t>FSC18098_980114984_20181207_12.zip</t>
  </si>
  <si>
    <t>FSC1809843441</t>
  </si>
  <si>
    <t>FSC19004_980156320_20190308_12.zip</t>
  </si>
  <si>
    <t>980156320</t>
  </si>
  <si>
    <t>BABYBEL ORIG 26CT</t>
  </si>
  <si>
    <t>DELI PI</t>
  </si>
  <si>
    <t>Snack Cheese</t>
  </si>
  <si>
    <t>FSC18132_980176062_20190208_12.zip</t>
  </si>
  <si>
    <t>980176062</t>
  </si>
  <si>
    <t>CHEEZ-IT SNAP'D</t>
  </si>
  <si>
    <t>On the Go - Crackers</t>
  </si>
  <si>
    <t>FSC18132</t>
  </si>
  <si>
    <t>FSC1813243504</t>
  </si>
  <si>
    <t>FSC19004_980157831_20190308_12.zip</t>
  </si>
  <si>
    <t>980157831</t>
  </si>
  <si>
    <t>MINI BB LIGHT 26CT</t>
  </si>
  <si>
    <t>FSC18025_980002024_20180427_12.zip</t>
  </si>
  <si>
    <t>980002024</t>
  </si>
  <si>
    <t>SNYDERS MINI PRETZEL</t>
  </si>
  <si>
    <t>SWEET AND SALTY SNACKS</t>
  </si>
  <si>
    <t>Pretzel</t>
  </si>
  <si>
    <t>FSC18025</t>
  </si>
  <si>
    <t>FSC1802543217</t>
  </si>
  <si>
    <t>FSC18023_850799_20180420_12.zip</t>
  </si>
  <si>
    <t>Non Dispense Photo</t>
  </si>
  <si>
    <t>FSC18023</t>
  </si>
  <si>
    <t>FSC1802343210</t>
  </si>
  <si>
    <t>FSC18025_980075292_20180427_12.zip</t>
  </si>
  <si>
    <t>FSC18023_850799_20180406_12.zip</t>
  </si>
  <si>
    <t>FSC1802343196</t>
  </si>
  <si>
    <t>FSC18025_729234_20180427_12.zip</t>
  </si>
  <si>
    <t>Laxatives</t>
  </si>
  <si>
    <t>FSC18082_728178_20181012_12.zip</t>
  </si>
  <si>
    <t>FSC18082</t>
  </si>
  <si>
    <t>FSC1808243385</t>
  </si>
  <si>
    <t>FSC18082_980109044_20181012_12.zip</t>
  </si>
  <si>
    <t>FSC18090_980120051_20181221_12.zip</t>
  </si>
  <si>
    <t>980120051</t>
  </si>
  <si>
    <t>DOWNY UNSTOP FRESH</t>
  </si>
  <si>
    <t>Scent Boosters</t>
  </si>
  <si>
    <t>FSC18090</t>
  </si>
  <si>
    <t>FSC1809043455</t>
  </si>
  <si>
    <t>FSC18096_980070881_20181207_12.zip</t>
  </si>
  <si>
    <t>980070881</t>
  </si>
  <si>
    <t>DISINFECTING WIPES</t>
  </si>
  <si>
    <t>Disinfecting Wipes</t>
  </si>
  <si>
    <t>FSC18096</t>
  </si>
  <si>
    <t>FSC1809643441</t>
  </si>
  <si>
    <t>FSC18096_980126238_20181207_12.zip</t>
  </si>
  <si>
    <t>980126238</t>
  </si>
  <si>
    <t>NATURAL VITALITY</t>
  </si>
  <si>
    <t>Minerals</t>
  </si>
  <si>
    <t>FSC19006_151618_20190308_12.zip</t>
  </si>
  <si>
    <t>151618</t>
  </si>
  <si>
    <t>TIDY CATS WITH GLADE</t>
  </si>
  <si>
    <t>PET SUPPLIES</t>
  </si>
  <si>
    <t>Cat Litter</t>
  </si>
  <si>
    <t>FSC19006</t>
  </si>
  <si>
    <t>FSC1900643532</t>
  </si>
  <si>
    <t>FSC19006_247824_20190308_12.zip</t>
  </si>
  <si>
    <t>247824</t>
  </si>
  <si>
    <t>FANCY FEAST VARIETY</t>
  </si>
  <si>
    <t>Moist Cat Food</t>
  </si>
  <si>
    <t>FSC18099_980095236_20181123_12.zip</t>
  </si>
  <si>
    <t>980095236</t>
  </si>
  <si>
    <t>LOREAL EVERPURE SH</t>
  </si>
  <si>
    <t>Hair Care</t>
  </si>
  <si>
    <t>FSC18099</t>
  </si>
  <si>
    <t>FSC1809943427</t>
  </si>
  <si>
    <t>FSC18084_567934_20181019_12.zip</t>
  </si>
  <si>
    <t>FSC18084</t>
  </si>
  <si>
    <t>FSC1808443392</t>
  </si>
  <si>
    <t>FSC18099_980095235_20181123_12.zip</t>
  </si>
  <si>
    <t>980095235</t>
  </si>
  <si>
    <t>LOREAL EVERPURE CD</t>
  </si>
  <si>
    <t>FSC18084_980139499_20181019_12.zip</t>
  </si>
  <si>
    <t>980139499</t>
  </si>
  <si>
    <t>IWI OMEGA-3</t>
  </si>
  <si>
    <t>FSC18099_683073_20181123_12.zip</t>
  </si>
  <si>
    <t>683073</t>
  </si>
  <si>
    <t>CERAVE CREAM W/PUMP</t>
  </si>
  <si>
    <t>FSC19012_787157_20190322_12.zip</t>
  </si>
  <si>
    <t>787157</t>
  </si>
  <si>
    <t>PULLED PORK BBQ</t>
  </si>
  <si>
    <t>FROZEN MEAT PI</t>
  </si>
  <si>
    <t>BBQ CHILI PORK</t>
  </si>
  <si>
    <t>Sample + OSO TIS (Sample Mismatch)</t>
  </si>
  <si>
    <t>FSC19012</t>
  </si>
  <si>
    <t>FSC1901243546</t>
  </si>
  <si>
    <t>FSC18099_980115834_20181123_12.zip</t>
  </si>
  <si>
    <t>980115834</t>
  </si>
  <si>
    <t>CERAVE LOTION</t>
  </si>
  <si>
    <t>FSC19012_980139499_20190322_12.zip</t>
  </si>
  <si>
    <t>FSC17141_980068089_20180518_12.zip</t>
  </si>
  <si>
    <t>980068089</t>
  </si>
  <si>
    <t>PANTENE SHR VOL SH</t>
  </si>
  <si>
    <t>FSC17141</t>
  </si>
  <si>
    <t>FSC1714143238</t>
  </si>
  <si>
    <t>FSC17141_980081302_20180518_12.zip</t>
  </si>
  <si>
    <t>980081302</t>
  </si>
  <si>
    <t>PANTENE SHRVOL FM CD</t>
  </si>
  <si>
    <t>FSC18091_980000614_20181123_12.zip</t>
  </si>
  <si>
    <t>980000614</t>
  </si>
  <si>
    <t>ULTRA STRONG 33 GAL</t>
  </si>
  <si>
    <t>TABLETOP AND BAGS</t>
  </si>
  <si>
    <t>Trash Bags</t>
  </si>
  <si>
    <t>FSC18091</t>
  </si>
  <si>
    <t>FSC1809143427</t>
  </si>
  <si>
    <t>FSC18091_980143448_20181123_12.zip</t>
  </si>
  <si>
    <t>980143448</t>
  </si>
  <si>
    <t>TALL KITCHEN 13 GAL</t>
  </si>
  <si>
    <t>FSC18041_105782_20180615_12.zip</t>
  </si>
  <si>
    <t>105782</t>
  </si>
  <si>
    <t>ADVIL PM</t>
  </si>
  <si>
    <t>Sample + TIS (DROI)</t>
  </si>
  <si>
    <t>FSC18041</t>
  </si>
  <si>
    <t>FSC1804143266</t>
  </si>
  <si>
    <t>FSC18083_980114984_20181109_12.zip</t>
  </si>
  <si>
    <t>FSC18083</t>
  </si>
  <si>
    <t>FSC1808343413</t>
  </si>
  <si>
    <t>FSC18041_151141_20180615_12.zip</t>
  </si>
  <si>
    <t>151141</t>
  </si>
  <si>
    <t>CHAPSTICK</t>
  </si>
  <si>
    <t>Cough Cold</t>
  </si>
  <si>
    <t>FSC18019_105119_20180406_12.zip</t>
  </si>
  <si>
    <t>105119</t>
  </si>
  <si>
    <t>TOASTED MEDLEY</t>
  </si>
  <si>
    <t>Crackers - Specialty</t>
  </si>
  <si>
    <t>FSC18019</t>
  </si>
  <si>
    <t>FSC1801943196</t>
  </si>
  <si>
    <t>FSC18041_469800_20180615_12.zip</t>
  </si>
  <si>
    <t>469800</t>
  </si>
  <si>
    <t>EMERGEN-C CLUB PACK</t>
  </si>
  <si>
    <t>FSC18090_980120051_20190222_12.zip</t>
  </si>
  <si>
    <t>FSC1809043518</t>
  </si>
  <si>
    <t>FSC18041_687988_20180615_12.zip</t>
  </si>
  <si>
    <t>687988</t>
  </si>
  <si>
    <t>ADVIL TABLETS</t>
  </si>
  <si>
    <t>FSC18028_839559_20180615_12.zip</t>
  </si>
  <si>
    <t>839559</t>
  </si>
  <si>
    <t>BOB'S SWEET STRIPES</t>
  </si>
  <si>
    <t>MINT</t>
  </si>
  <si>
    <t>FSC18028</t>
  </si>
  <si>
    <t>FSC1802843266</t>
  </si>
  <si>
    <t>FSC18041_70690_20180615_12.zip</t>
  </si>
  <si>
    <t>70690</t>
  </si>
  <si>
    <t>ADVIL LIQUID GELS</t>
  </si>
  <si>
    <t>FSC18031_980093167_20180511_12.zip</t>
  </si>
  <si>
    <t>980093167</t>
  </si>
  <si>
    <t>KLEENEX WET WIPES</t>
  </si>
  <si>
    <t>Wet Wipes</t>
  </si>
  <si>
    <t>FSC18031</t>
  </si>
  <si>
    <t>FSC1803143231</t>
  </si>
  <si>
    <t>FSC18120_226365_20190111_12.zip</t>
  </si>
  <si>
    <t>226365</t>
  </si>
  <si>
    <t>SUPER COLLAGEN+C</t>
  </si>
  <si>
    <t>Herbals/Supplements</t>
  </si>
  <si>
    <t>FSC18120</t>
  </si>
  <si>
    <t>FSC1812043476</t>
  </si>
  <si>
    <t>980074723</t>
  </si>
  <si>
    <t>MM FRUIT SNACK</t>
  </si>
  <si>
    <t>Fruit Snacks Core</t>
  </si>
  <si>
    <t>FSC18055</t>
  </si>
  <si>
    <t>FSC18120_980126238_20190111_12.zip</t>
  </si>
  <si>
    <t>FSC18114_567934_20190111_12.zip</t>
  </si>
  <si>
    <t>FSC18114</t>
  </si>
  <si>
    <t>FSC1811443476</t>
  </si>
  <si>
    <t>FSC18114_980058839_20190111_12.zip</t>
  </si>
  <si>
    <t>FSC18114_980116253_20190111_12.zip</t>
  </si>
  <si>
    <t>980116253</t>
  </si>
  <si>
    <t>SMARTYPANTS PRENATAL</t>
  </si>
  <si>
    <t>FSC18028_839559_20180504_12.zip</t>
  </si>
  <si>
    <t>FSC1802843224</t>
  </si>
  <si>
    <t>FSC18114_980116254_20190111_12.zip</t>
  </si>
  <si>
    <t>980116254</t>
  </si>
  <si>
    <t>SMARTYPANTS WOMEN'S</t>
  </si>
  <si>
    <t>FSC18063_40783_20190308_12.zip</t>
  </si>
  <si>
    <t>40783</t>
  </si>
  <si>
    <t>DA PROBIOTIC GUMMIES</t>
  </si>
  <si>
    <t>FSC18063</t>
  </si>
  <si>
    <t>FSC1806343532</t>
  </si>
  <si>
    <t>FSC18091_980000614_20181207_12.zip</t>
  </si>
  <si>
    <t>FSC1809143441</t>
  </si>
  <si>
    <t>FSC18063_713998_20190308_12.zip</t>
  </si>
  <si>
    <t>713998</t>
  </si>
  <si>
    <t>MOVE FREE ULTRA</t>
  </si>
  <si>
    <t>Joint Care</t>
  </si>
  <si>
    <t>FSC18063_980009095_20190308_12.zip</t>
  </si>
  <si>
    <t>980009095</t>
  </si>
  <si>
    <t>MOVE FREE RED</t>
  </si>
  <si>
    <t>FSC18091_980143448_20181207_12.zip</t>
  </si>
  <si>
    <t>FSC18063_40783_20190315_12.zip</t>
  </si>
  <si>
    <t>FSC1806343539</t>
  </si>
  <si>
    <t>FSC18086_608210_20181109_12.zip</t>
  </si>
  <si>
    <t>FSC18086</t>
  </si>
  <si>
    <t>FSC1808643413</t>
  </si>
  <si>
    <t>FSC18063_713998_20190315_12.zip</t>
  </si>
  <si>
    <t>FSC18049_980011652_20180622_12.zip</t>
  </si>
  <si>
    <t>980011652</t>
  </si>
  <si>
    <t>CLUB CRACKER 24 CT</t>
  </si>
  <si>
    <t>Crackers - Mainstream</t>
  </si>
  <si>
    <t>FSC18049</t>
  </si>
  <si>
    <t>FSC1804943273</t>
  </si>
  <si>
    <t>FSC18063_980009095_20190315_12.zip</t>
  </si>
  <si>
    <t>FSC18022_980011652_20180406_12.zip</t>
  </si>
  <si>
    <t>FSC18022</t>
  </si>
  <si>
    <t>FSC1802243196</t>
  </si>
  <si>
    <t>Sample(DROI)</t>
  </si>
  <si>
    <t>FSC18055_980074723_20190308_12.zip</t>
  </si>
  <si>
    <t>FSC1805543532</t>
  </si>
  <si>
    <t>351889</t>
  </si>
  <si>
    <t>ZYRTEC 10MG</t>
  </si>
  <si>
    <t>Allergy</t>
  </si>
  <si>
    <t>FSC18015_567934_20180330_12.zip</t>
  </si>
  <si>
    <t>FSC18015</t>
  </si>
  <si>
    <t>FSC1801543189</t>
  </si>
  <si>
    <t>FSC18015_326282_20180330_12.zip</t>
  </si>
  <si>
    <t>326282</t>
  </si>
  <si>
    <t>BLUE STOP PAIN CREAM</t>
  </si>
  <si>
    <t>FSC18112_980011652_20181214_12.zip</t>
  </si>
  <si>
    <t>FSC18112</t>
  </si>
  <si>
    <t>FSC1811243448</t>
  </si>
  <si>
    <t>FSC18055_980074723_20190104_12.zip</t>
  </si>
  <si>
    <t>FSC1805543469</t>
  </si>
  <si>
    <t>FSC18109_567934_20190104_12.zip</t>
  </si>
  <si>
    <t>FSC18109</t>
  </si>
  <si>
    <t>FSC1810943469</t>
  </si>
  <si>
    <t>FSC18054_902467_20181130_12.zip</t>
  </si>
  <si>
    <t>902467</t>
  </si>
  <si>
    <t>AIRWICK OILS 0+8</t>
  </si>
  <si>
    <t>FSC18054</t>
  </si>
  <si>
    <t>FSC1805443434</t>
  </si>
  <si>
    <t>FSC18109_980140785_20190104_12.zip</t>
  </si>
  <si>
    <t>980140785</t>
  </si>
  <si>
    <t>FSC18054_434023_20181130_12.zip</t>
  </si>
  <si>
    <t>434023</t>
  </si>
  <si>
    <t>AIRWICK OILS 1 + 6</t>
  </si>
  <si>
    <t>FSC18109_980140786_20190104_12.zip</t>
  </si>
  <si>
    <t>980140786</t>
  </si>
  <si>
    <t>FSC18124_980176058_20190322_12.zip</t>
  </si>
  <si>
    <t>980176058</t>
  </si>
  <si>
    <t>ID CRML CRMER 192CT</t>
  </si>
  <si>
    <t>Creamers</t>
  </si>
  <si>
    <t>FSC18124</t>
  </si>
  <si>
    <t>FSC1812443546</t>
  </si>
  <si>
    <t>FSC18109_980140787_20190104_12.zip</t>
  </si>
  <si>
    <t>980140787</t>
  </si>
  <si>
    <t>FSC18124_980135711_20190322_12.zip</t>
  </si>
  <si>
    <t>980135711</t>
  </si>
  <si>
    <t>L&amp;F (V/SCC/COCV) 18</t>
  </si>
  <si>
    <t>Light Yogurt</t>
  </si>
  <si>
    <t>FSC18011_351889_20180330_12.zip</t>
  </si>
  <si>
    <t>FSC18011</t>
  </si>
  <si>
    <t>FSC1801143189</t>
  </si>
  <si>
    <t>FSC18034_555508_20180601_12.zip</t>
  </si>
  <si>
    <t>555508</t>
  </si>
  <si>
    <t>FLASH LAVENDER</t>
  </si>
  <si>
    <t>All Purpose Cleaners</t>
  </si>
  <si>
    <t>FSC18034</t>
  </si>
  <si>
    <t>FSC1803443252</t>
  </si>
  <si>
    <t>FSC18011_980026672_20180330_12.zip</t>
  </si>
  <si>
    <t>980026672</t>
  </si>
  <si>
    <t>RICOLA ORIGINAL</t>
  </si>
  <si>
    <t>FSC18034_555501_20180601_12.zip</t>
  </si>
  <si>
    <t>555501</t>
  </si>
  <si>
    <t>PINALEN ORIG MULTI</t>
  </si>
  <si>
    <t>FSC18055_980074723_20181109_12.zip</t>
  </si>
  <si>
    <t>FSC1805543413</t>
  </si>
  <si>
    <t>FSC18094_605629_20181123_12.zip</t>
  </si>
  <si>
    <t>605629</t>
  </si>
  <si>
    <t>VITAFUSION POWER C</t>
  </si>
  <si>
    <t>Letter Vitamins</t>
  </si>
  <si>
    <t>FSC18094</t>
  </si>
  <si>
    <t>FSC1809443427</t>
  </si>
  <si>
    <t>FSC18108_326282_20181207_12.zip</t>
  </si>
  <si>
    <t>FSC18108</t>
  </si>
  <si>
    <t>FSC1810843441</t>
  </si>
  <si>
    <t>FSC18108_567934_20181207_12.zip</t>
  </si>
  <si>
    <t>FSC18062</t>
  </si>
  <si>
    <t>FSC18095_990694_20181123_12.zip</t>
  </si>
  <si>
    <t>990694</t>
  </si>
  <si>
    <t>STEEP ORG LMNGNGR 60</t>
  </si>
  <si>
    <t>Tea</t>
  </si>
  <si>
    <t>FSC18095</t>
  </si>
  <si>
    <t>FSC1809543427</t>
  </si>
  <si>
    <t>Fabric Liquid Enhancers</t>
  </si>
  <si>
    <t>FSC18115_326282_20190201_12.zip</t>
  </si>
  <si>
    <t>FSC18115</t>
  </si>
  <si>
    <t>FSC1811543497</t>
  </si>
  <si>
    <t>FSC18055_980074723_20181102_12.zip</t>
  </si>
  <si>
    <t>FSC1805543406</t>
  </si>
  <si>
    <t>FSC18115_980059391_20190201_12.zip</t>
  </si>
  <si>
    <t>980059391</t>
  </si>
  <si>
    <t>VEGA PROTEIN+SNACK</t>
  </si>
  <si>
    <t>FSC18024_980011652_20180413_12.zip</t>
  </si>
  <si>
    <t>FSC18024</t>
  </si>
  <si>
    <t>FSC1802443203</t>
  </si>
  <si>
    <t>FSC18115_980059393_20190201_12.zip</t>
  </si>
  <si>
    <t>980059393</t>
  </si>
  <si>
    <t>VEGA PROTEIN + SHAKE</t>
  </si>
  <si>
    <t>Protein Drinks &amp; Powders</t>
  </si>
  <si>
    <t>FSC18055_980074723_20190111_12.zip</t>
  </si>
  <si>
    <t>FSC1805543476</t>
  </si>
  <si>
    <t>793064</t>
  </si>
  <si>
    <t>ENSUENO SPRING FRESH</t>
  </si>
  <si>
    <t>FSC18067</t>
  </si>
  <si>
    <t>FSC17142_555508_20180615_12.zip</t>
  </si>
  <si>
    <t>FSC17142</t>
  </si>
  <si>
    <t>FSC1714243266</t>
  </si>
  <si>
    <t>FSC17142_793064_20180615_12.zip</t>
  </si>
  <si>
    <t>FSC18062_567934_20181005_12.zip</t>
  </si>
  <si>
    <t>FSC1806243378</t>
  </si>
  <si>
    <t>FSC18122_555501_20190125_12.zip</t>
  </si>
  <si>
    <t>Sample Dispense + Digital Opt-In Offer</t>
  </si>
  <si>
    <t>FSC18122</t>
  </si>
  <si>
    <t>FSC1812243490</t>
  </si>
  <si>
    <t>FSC18062_326282_20181005_12.zip</t>
  </si>
  <si>
    <t>FSC18122_555508_20190125_12.zip</t>
  </si>
  <si>
    <t>FSC18123_793064_20190215_12.zip</t>
  </si>
  <si>
    <t>FSC18123</t>
  </si>
  <si>
    <t>FSC1812343511</t>
  </si>
  <si>
    <t>FSC18015_326282_20180518_12.zip</t>
  </si>
  <si>
    <t>FSC1801543238</t>
  </si>
  <si>
    <t>FSC18123_555508_20190215_12.zip</t>
  </si>
  <si>
    <t>FSC18015_567934_20180518_12.zip</t>
  </si>
  <si>
    <t>FSC18103_980074723_20181102_12.zip</t>
  </si>
  <si>
    <t>FSC18103</t>
  </si>
  <si>
    <t>FSC1810343406</t>
  </si>
  <si>
    <t>FSC18069_980115793_20181012_12.zip</t>
  </si>
  <si>
    <t>980115793</t>
  </si>
  <si>
    <t>PERSIL PRO CLEAN</t>
  </si>
  <si>
    <t>Liquid Laundry Detergents</t>
  </si>
  <si>
    <t>FSC18069</t>
  </si>
  <si>
    <t>FSC1806943385</t>
  </si>
  <si>
    <t>FSC18067_793064_20181102_12.zip</t>
  </si>
  <si>
    <t>FSC1806743406</t>
  </si>
  <si>
    <t>FSC18067_555508_20181102_12.zip</t>
  </si>
  <si>
    <t>Case File</t>
  </si>
  <si>
    <t>Tags</t>
  </si>
  <si>
    <t>Notes</t>
  </si>
  <si>
    <t>High A%; Item launch; comparable with ISB; High lift; Control decline</t>
  </si>
  <si>
    <t>#1 Sales week; Low conversion; Item launch; Low performing clubs; High lift</t>
  </si>
  <si>
    <t>Lower performing stores outperform on Freeosk week; lowest conversion of Q3 Benchmarks</t>
  </si>
  <si>
    <t>High repeat; Low engagement; High C%; Low lift</t>
  </si>
  <si>
    <t>Highest A% of Q3 Benchmarks; ran just before ISB and improved the ISB results in Freeosk stores</t>
  </si>
  <si>
    <t>FSC18062_326282_20190405_12.zip</t>
  </si>
  <si>
    <t>FSC18087_980136022_20190419_12.zip</t>
  </si>
  <si>
    <t>FSC18129_980125399_20190405_12.zip</t>
  </si>
  <si>
    <t>FSC18129_980125405_20190405_12.zip</t>
  </si>
  <si>
    <t>FSC18130_980169086_20190412_12.zip</t>
  </si>
  <si>
    <t>FSC18130_980169088_20190412_12.zip</t>
  </si>
  <si>
    <t>FSC18130_980169089_20190412_12.zip</t>
  </si>
  <si>
    <t>FSC19001_11260_20190329_12.zip</t>
  </si>
  <si>
    <t>FSC19001_825714_20190329_12.zip</t>
  </si>
  <si>
    <t>FSC19001_980160795_20190329_12.zip</t>
  </si>
  <si>
    <t>FSC19005_980113648_20190503_12.zip</t>
  </si>
  <si>
    <t>FSC19010_980186688_20190510_12.zip</t>
  </si>
  <si>
    <t>FSC19014_491913_20190405_12.zip</t>
  </si>
  <si>
    <t>FSC19014_724211_20190405_12.zip</t>
  </si>
  <si>
    <t>FSC19014_980003636_20190405_12.zip</t>
  </si>
  <si>
    <t>FSC19019_944440_20190510_12.zip</t>
  </si>
  <si>
    <t>FSC19019_980075462_20190510_12.zip</t>
  </si>
  <si>
    <t>FSC19019_980099638_20190510_12.zip</t>
  </si>
  <si>
    <t>FSC19019_980158538_20190510_12.zip</t>
  </si>
  <si>
    <t>FSC19019_980172822_20190510_12.zip</t>
  </si>
  <si>
    <t>FSC19022_793064_20190510_12.zip</t>
  </si>
  <si>
    <t>GARNIER WHOLE BLENDS</t>
  </si>
  <si>
    <t>WHOLE BLENDS</t>
  </si>
  <si>
    <t>NESTLE MIX UPS</t>
  </si>
  <si>
    <t>BUTTERFINGER</t>
  </si>
  <si>
    <t>REESE'S PB EGGS</t>
  </si>
  <si>
    <t>SPRINGTIME MIX</t>
  </si>
  <si>
    <t>CADBURY/REESE EGGS</t>
  </si>
  <si>
    <t>GAIN FIREWORKS ORIG</t>
  </si>
  <si>
    <t>TIDE PODS</t>
  </si>
  <si>
    <t>COLGATE TOTAL WHITE</t>
  </si>
  <si>
    <t>LISTERINE READY TABS</t>
  </si>
  <si>
    <t>CANDY</t>
  </si>
  <si>
    <t>BIG BAG CORE</t>
  </si>
  <si>
    <t>CHOC CT GOODS</t>
  </si>
  <si>
    <t>KING SIZE</t>
  </si>
  <si>
    <t>Easter</t>
  </si>
  <si>
    <t>Unit Dose Laundry</t>
  </si>
  <si>
    <t>Sample + OSO TIS (Sample Match)</t>
  </si>
  <si>
    <t>FSC18129</t>
  </si>
  <si>
    <t>FSC18130</t>
  </si>
  <si>
    <t>FSC19001</t>
  </si>
  <si>
    <t>FSC19005</t>
  </si>
  <si>
    <t>FSC19010</t>
  </si>
  <si>
    <t>FSC19014</t>
  </si>
  <si>
    <t>FSC19019</t>
  </si>
  <si>
    <t>FSC19022</t>
  </si>
  <si>
    <t>Most recent included program</t>
  </si>
  <si>
    <t>MAX</t>
  </si>
  <si>
    <t>MIN</t>
  </si>
  <si>
    <t>(by Startdate)</t>
  </si>
  <si>
    <t>EXCLUDED:</t>
  </si>
  <si>
    <t>INCLUDED:</t>
  </si>
  <si>
    <r>
      <rPr>
        <sz val="11"/>
        <color rgb="FF00B0F0"/>
        <rFont val="Calibri"/>
        <family val="2"/>
        <scheme val="minor"/>
      </rPr>
      <t>Multiweek/ Complex reports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5"/>
        <rFont val="Calibri"/>
        <family val="2"/>
        <scheme val="minor"/>
      </rPr>
      <t>Scaled reports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0" tint="-0.499984740745262"/>
        <rFont val="Calibri"/>
        <family val="2"/>
        <scheme val="minor"/>
      </rPr>
      <t>PW/4W eligible reports</t>
    </r>
  </si>
  <si>
    <r>
      <rPr>
        <sz val="11"/>
        <color rgb="FF00B0F0"/>
        <rFont val="Calibri"/>
        <family val="2"/>
        <scheme val="minor"/>
      </rPr>
      <t>Single week reports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5"/>
        <rFont val="Calibri"/>
        <family val="2"/>
        <scheme val="minor"/>
      </rPr>
      <t>Composite/ Card reports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0" tint="-0.499984740745262"/>
        <rFont val="Calibri"/>
        <family val="2"/>
        <scheme val="minor"/>
      </rPr>
      <t>12W eligible reports</t>
    </r>
  </si>
  <si>
    <t>Metric</t>
  </si>
  <si>
    <t>#1 Sales week; High lift</t>
  </si>
  <si>
    <t>Engagement %</t>
  </si>
  <si>
    <t>Conversion % (12W )</t>
  </si>
  <si>
    <t>Repeat % (12W)</t>
  </si>
  <si>
    <t>Immediate % (12W)</t>
  </si>
  <si>
    <t xml:space="preserve">A% </t>
  </si>
  <si>
    <t xml:space="preserve">B% </t>
  </si>
  <si>
    <t xml:space="preserve">C% </t>
  </si>
  <si>
    <t xml:space="preserve">A+B% </t>
  </si>
  <si>
    <t>Sub-cat</t>
  </si>
  <si>
    <t>(12W)</t>
  </si>
  <si>
    <t>Freeosk Overall</t>
  </si>
  <si>
    <t>Candy-Snacks-Business (1)</t>
  </si>
  <si>
    <t>Coffee and Breakfast (41)</t>
  </si>
  <si>
    <t>Adult Nutrition Bar (2)</t>
  </si>
  <si>
    <t>Health and Beauty Aids (2)</t>
  </si>
  <si>
    <t>Laundry and Home Care (13)</t>
  </si>
  <si>
    <t>Fabric Liquid Enhancers (70)</t>
  </si>
  <si>
    <t>OTC (54)</t>
  </si>
  <si>
    <t>Laxatives
(30)</t>
  </si>
  <si>
    <t>Snacks (78)</t>
  </si>
  <si>
    <t>Cookies (1)</t>
  </si>
  <si>
    <t>Sweet and Salty Snacks (78)</t>
  </si>
  <si>
    <t>Freeosk Overall (Merch Item)**</t>
  </si>
  <si>
    <r>
      <t xml:space="preserve">Key: </t>
    </r>
    <r>
      <rPr>
        <sz val="11"/>
        <color rgb="FF00B0F0"/>
        <rFont val="Calibri"/>
        <family val="2"/>
        <scheme val="minor"/>
      </rPr>
      <t>Overall Metric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9"/>
        <rFont val="Calibri"/>
        <family val="2"/>
        <scheme val="minor"/>
      </rPr>
      <t>Highest Cat/Sub-Cat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5"/>
        <rFont val="Calibri"/>
        <family val="2"/>
        <scheme val="minor"/>
      </rPr>
      <t>Lowest Cat/Sub-Cat</t>
    </r>
  </si>
  <si>
    <t>Q3 BENCHMARKS</t>
  </si>
  <si>
    <t>#2 Sales week; Low performing clubs; High engagement; High A+B%</t>
  </si>
  <si>
    <t>Lower performing stores outperform on Freeosk week</t>
  </si>
  <si>
    <t>UQ</t>
  </si>
  <si>
    <t>LQ</t>
  </si>
  <si>
    <t>MED</t>
  </si>
  <si>
    <t>Off the Freeosk TIS (refrigerated item) performed well with high repeat %. Program was in lower performing stores which outperformed during Freeosk week</t>
  </si>
  <si>
    <t>Low engagement; High repeat %; High conversion; No Sample</t>
  </si>
  <si>
    <t>Low engagement; High repeat %; Control decline; No Sample</t>
  </si>
  <si>
    <t>Lower performing stores outperformed during Freeosk week</t>
  </si>
  <si>
    <t>#1 Sales week; High lift; High A+B%</t>
  </si>
  <si>
    <t>Freeosk week to run item out of distribution; Impact of Freeosk program is clear with not much variation between Freeosk and Control clubs until the Freeosk week</t>
  </si>
  <si>
    <t>Multiple Freeosk week peeks visible in sales trend, high conversion and repeat</t>
  </si>
  <si>
    <t>High conversion; high repeat, low engagement, better performing clubs</t>
  </si>
  <si>
    <t>#1 Sales week; High lift; product launch</t>
  </si>
  <si>
    <t>Low lift and engagement as it's a niche sub cat but very high repeat for those who converted; highest repeat of Q3 Benchmarks</t>
  </si>
  <si>
    <t xml:space="preserve">Freeosk week tripled sales baseline </t>
  </si>
  <si>
    <t>#1 Sales week; 2nd highest engagement of Q3 benchmarks; low conversion</t>
  </si>
  <si>
    <t>#1 Sales week, beating Halloween in the Candy Category</t>
  </si>
  <si>
    <t>Seasonal; High engagement</t>
  </si>
  <si>
    <t>Comparable with ISB; High repeat; low engagement; No sample; Prior to ISB</t>
  </si>
  <si>
    <t>High repeat; Low engagement; Low lift; control decline; No sample</t>
  </si>
  <si>
    <t>#1 Sales week</t>
  </si>
  <si>
    <t>Good sales trend example for the sub cat</t>
  </si>
  <si>
    <t>Freeosk ran prior to item being removed from distribution</t>
  </si>
  <si>
    <t>Multiple Freeosk week peeks visible in sales trend</t>
  </si>
  <si>
    <t>#1 Sales week; Control decline; High lift; High A+B% Low engagement; No sample</t>
  </si>
  <si>
    <t>Underperforming stores outperform on Freeosk week for the #1 sales week - low engagement due to no sample</t>
  </si>
  <si>
    <t>#1 Sales week; High repeat; High A+B%; beat ISB</t>
  </si>
  <si>
    <t>#1 Sales week, beating multiple ISBs and high repeat</t>
  </si>
  <si>
    <t>Comparable with ISB</t>
  </si>
  <si>
    <t>Good example of Freeosk matching ISB sales</t>
  </si>
  <si>
    <t>High engagement; High C%; High repeat</t>
  </si>
  <si>
    <t>Relatively low lift but high C% with high repeat and engagement</t>
  </si>
  <si>
    <t>#1 Sales week; High lift; High A+B%; No Sample; Beat ISB</t>
  </si>
  <si>
    <t>Freeosk week was the #1 sales week by far and generated high number of new users - low engagement due to no sample</t>
  </si>
  <si>
    <t>Case File Link</t>
  </si>
  <si>
    <t>FSC19006_247824_20190308_12_case.pptx</t>
  </si>
  <si>
    <t>FSC18026_729234_20180427_12_case.pptx</t>
  </si>
  <si>
    <t>FSC18124_980135711_20190322_12_case.pptx</t>
  </si>
  <si>
    <t>FSC18025_729234_20180427_12_case.pptx</t>
  </si>
  <si>
    <t>FSC18075_57091_20181005_12_case.pptx</t>
  </si>
  <si>
    <t>FSC19022_793064_20190510_12_case.pptx</t>
  </si>
  <si>
    <t>FSC19006_151618_20190308_12_case.pptx</t>
  </si>
  <si>
    <t>FSC18090_980120051_20181221_12_case.pptx</t>
  </si>
  <si>
    <t>FSC18081_728178_20181012_12_case.pptx</t>
  </si>
  <si>
    <t>FSC18018_705387_20180525_12_case.pptx</t>
  </si>
  <si>
    <t>FSC18123_793064_20190215_12_case.pptx</t>
  </si>
  <si>
    <t>FSC19004_980157831_20190308_12_case.pptx</t>
  </si>
  <si>
    <t>FSC18082_728178_20181012_12_case.pptx</t>
  </si>
  <si>
    <t>FSC18067_793064_20181102_12_case.pptx</t>
  </si>
  <si>
    <t>FSC18082_980109044_20181012_12_case.pptx</t>
  </si>
  <si>
    <t>FSC18126_980109044_20190125_12_case.pptx</t>
  </si>
  <si>
    <t>FSC18016_608210_20180330_12_case.pptx</t>
  </si>
  <si>
    <t>FSC18075_57189_20181005_12_case.pptx</t>
  </si>
  <si>
    <t>FSC17142_793064_20180615_12_case.pptx</t>
  </si>
  <si>
    <t>FSC18090_980120051_20190222_12_case.pptx</t>
  </si>
  <si>
    <t>FSC18038_608210_20180601_12_case.pptx</t>
  </si>
  <si>
    <t>FSC18018_190736_20180525_12_case.pptx</t>
  </si>
  <si>
    <t>FSC19004_980156320_20190308_12_case.pptx</t>
  </si>
  <si>
    <t>FSC18081_980109044_20181012_12_case.pptx</t>
  </si>
  <si>
    <t>FSC18025_980075292_20180427_12_case.pptx</t>
  </si>
  <si>
    <t>FSC18122_555501_20190125_12_case.pptx</t>
  </si>
  <si>
    <t>FSC19004_980141899_20190308_12_case.pptx</t>
  </si>
  <si>
    <t>FSC18034_555501_20180601_12_case.pptx</t>
  </si>
  <si>
    <t>FSC18086_608210_20181109_12_case.pptx</t>
  </si>
  <si>
    <t>FSC18104_608210_20181019_12_case.pptx</t>
  </si>
  <si>
    <t>FSC18121_724211_20190111_12_case.pptx</t>
  </si>
  <si>
    <t>FSC18063_40783_20190315_12_case.pptx</t>
  </si>
  <si>
    <t>FSC18132_980176062_20190208_12_case.pptx</t>
  </si>
  <si>
    <t>FSC18115_980059391_20190201_12_case.pptx</t>
  </si>
  <si>
    <t>FSC17142_555508_20180615_12_case.pptx</t>
  </si>
  <si>
    <t>FSC18123_555508_20190215_12_case.pptx</t>
  </si>
  <si>
    <t>FSC18055_980074723_20190104_12_case.pptx</t>
  </si>
  <si>
    <t>FSC18067_555508_20181102_12_case.pptx</t>
  </si>
  <si>
    <t>FSC18069_980115793_20181012_12_case.pptx</t>
  </si>
  <si>
    <t>FSC18055_980074723_20190111_12_case.pptx</t>
  </si>
  <si>
    <t>FSC18030_980088840_20180615_12_case.pptx</t>
  </si>
  <si>
    <t>FSC18109_980140786_20190104_12_case.pptx</t>
  </si>
  <si>
    <t>FSC19014_724211_20190405_12_case.pptx</t>
  </si>
  <si>
    <t>FSC18063_40783_20190308_12_case.pptx</t>
  </si>
  <si>
    <t>FSC19005_980113648_20190503_12_case.pptx</t>
  </si>
  <si>
    <t>FSC19014_980003636_20190405_12_case.pptx</t>
  </si>
  <si>
    <t>FSC18121_980003636_20190111_12_case.pptx</t>
  </si>
  <si>
    <t>FSC18055_980074723_20190308_12_case.pptx</t>
  </si>
  <si>
    <t>FSC19012_787157_20190322_12_case.pptx</t>
  </si>
  <si>
    <t>FSC18122_555508_20190125_12_case.pptx</t>
  </si>
  <si>
    <t>FSC18034_555508_20180601_12_case.pptx</t>
  </si>
  <si>
    <t>FSC18103_980074723_20181102_12_case.pptx</t>
  </si>
  <si>
    <t>FSC18098_980114984_20181102_12_case.pptx</t>
  </si>
  <si>
    <t>FSC18055_980074723_20181102_12_case.pptx</t>
  </si>
  <si>
    <t>FSC18124_980176058_20190322_12_case.pptx</t>
  </si>
  <si>
    <t>FSC18130_980169089_20190412_12_case.pptx</t>
  </si>
  <si>
    <t>FSC18121_491913_20190111_12_case.pptx</t>
  </si>
  <si>
    <t>FSC18115_980059393_20190201_12_case.pptx</t>
  </si>
  <si>
    <t>FSC18093_944440_20181005_12_case.pptx</t>
  </si>
  <si>
    <t>FSC18018_709743_20180525_12_case.pptx</t>
  </si>
  <si>
    <t>FSC18130_980169088_20190412_12_case.pptx</t>
  </si>
  <si>
    <t>FSC18098_980114984_20190111_12_case.pptx</t>
  </si>
  <si>
    <t>FSC18084_980139499_20181019_12_case.pptx</t>
  </si>
  <si>
    <t>FSC18055_980074723_20181109_12_case.pptx</t>
  </si>
  <si>
    <t>FSC18108_567934_20181207_12_case.pptx</t>
  </si>
  <si>
    <t>FSC18024_980011652_20180413_12_case.pptx</t>
  </si>
  <si>
    <t>FSC18026_980075292_20180427_12_case.pptx</t>
  </si>
  <si>
    <t>FSC18131_371722_20190315_12_case.pptx</t>
  </si>
  <si>
    <t>FSC19014_491913_20190405_12_case.pptx</t>
  </si>
  <si>
    <t>FSC18098_980114984_20181207_12_case.pptx</t>
  </si>
  <si>
    <t>FSC18022_980011652_20180406_12_case.pptx</t>
  </si>
  <si>
    <t>FSC18016_675774_20180330_12_case.pptx</t>
  </si>
  <si>
    <t>FSC19012_980139499_20190322_12_case.pptx</t>
  </si>
  <si>
    <t>FSC18075_567934_20181005_12_case.pptx</t>
  </si>
  <si>
    <t>FSC18062_567934_20181005_12_case.pptx</t>
  </si>
  <si>
    <t>FSC18093_11808_20181005_12_case.pptx</t>
  </si>
  <si>
    <t>FSC18049_980011652_20180622_12_case.pptx</t>
  </si>
  <si>
    <t>FSC18096_980070881_20181207_12_case.pptx</t>
  </si>
  <si>
    <t>FSC18112_980011652_20181214_12_case.pptx</t>
  </si>
  <si>
    <t>FSC18101_724211_20181115_12_case.pptx</t>
  </si>
  <si>
    <t>FSC18109_567934_20190104_12_case.pptx</t>
  </si>
  <si>
    <t>FSC18015_567934_20180330_12_case.pptx</t>
  </si>
  <si>
    <t>FSC18084_567934_20181019_12_case.pptx</t>
  </si>
  <si>
    <t>FSC19019_944440_20190510_12_case.pptx</t>
  </si>
  <si>
    <t>FSC18083_980114984_20181109_12_case.pptx</t>
  </si>
  <si>
    <t>FSC18028_839559_20180615_12_case.pptx</t>
  </si>
  <si>
    <t>FSC18088_850799_20181026_12_case.pptx</t>
  </si>
  <si>
    <t>FSC18095_990694_20181123_12_case.pptx</t>
  </si>
  <si>
    <t>FSC18063_713998_20190308_12_case.pptx</t>
  </si>
  <si>
    <t>FSC18015_567934_20180518_12_case.pptx</t>
  </si>
  <si>
    <t>FSC18054_434023_20181130_12_case.pptx</t>
  </si>
  <si>
    <t>FSC18113_281210_20181207_12_case.pptx</t>
  </si>
  <si>
    <t>FSC18113_567934_20181123_12_case.pptx</t>
  </si>
  <si>
    <t>FSC18028_839559_20180504_12_case.pptx</t>
  </si>
  <si>
    <t>FSC18109_980140785_20190104_12_case.pptx</t>
  </si>
  <si>
    <t>FSC18087_980136022_20181005_12_case.pptx</t>
  </si>
  <si>
    <t>FSC18010_788103_20180420_12_case.pptx</t>
  </si>
  <si>
    <t>FSC18036_944440_20180608_12_case.pptx</t>
  </si>
  <si>
    <t>FSC18023_850799_20180406_12_case.pptx</t>
  </si>
  <si>
    <t>FSC18125_92801_20190125_12_case.pptx</t>
  </si>
  <si>
    <t>FSC18023_850799_20180420_12_case.pptx</t>
  </si>
  <si>
    <t>FSC18114_980058839_20190111_12_case.pptx</t>
  </si>
  <si>
    <t>FSC18025_980002024_20180427_12_case.pptx</t>
  </si>
  <si>
    <t>FSC18026_980010669_20180427_12_case.pptx</t>
  </si>
  <si>
    <t>FSC18113_281210_20181123_12_case.pptx</t>
  </si>
  <si>
    <t>FSC18043_567934_20180601_12_case.pptx</t>
  </si>
  <si>
    <t>FSC18114_567934_20190111_12_case.pptx</t>
  </si>
  <si>
    <t>FSC18094_605629_20181123_12_case.pptx</t>
  </si>
  <si>
    <t>FSC18087_980136022_20190419_12_case.pptx</t>
  </si>
  <si>
    <t>FSC19010_980186688_20190510_12_case.pptx</t>
  </si>
  <si>
    <t>FSC18041_687988_20180615_12_case.pptx</t>
  </si>
  <si>
    <t>FSC18099_683073_20181123_12_case.pptx</t>
  </si>
  <si>
    <t>FSC18114_980116254_20190111_12_case.pptx</t>
  </si>
  <si>
    <t>FSC18120_226365_20190111_12_case.pptx</t>
  </si>
  <si>
    <t>FSC18129_980125405_20190405_12_case.pptx</t>
  </si>
  <si>
    <t>FSC19019_980172822_20190510_12_case.pptx</t>
  </si>
  <si>
    <t>FSC18054_902467_20181130_12_case.pptx</t>
  </si>
  <si>
    <t>FSC18096_980126238_20181207_12_case.pptx</t>
  </si>
  <si>
    <t>FSC18041_469800_20180615_12_case.pptx</t>
  </si>
  <si>
    <t>FSC18041_70690_20180615_12_case.pptx</t>
  </si>
  <si>
    <t>FSC18088_92801_20181026_12_case.pptx</t>
  </si>
  <si>
    <t>FSC18129_980125399_20190405_12_case.pptx</t>
  </si>
  <si>
    <t>FSC18107_92801_20181207_12_case.pptx</t>
  </si>
  <si>
    <t>FSC18131_788103_20190315_12_case.pptx</t>
  </si>
  <si>
    <t>FSC18036_66683_20180608_12_case.pptx</t>
  </si>
  <si>
    <t>FSC18108_326282_20181207_12_case.pptx</t>
  </si>
  <si>
    <t>FSC18011_980026672_20180330_12_case.pptx</t>
  </si>
  <si>
    <t>FSC18011_351889_20180330_12_case.pptx</t>
  </si>
  <si>
    <t>FSC18036_283398_20180608_12_case.pptx</t>
  </si>
  <si>
    <t>FSC18063_713998_20190315_12_case.pptx</t>
  </si>
  <si>
    <t>FSC18100_850895_20181115_12_case.pptx</t>
  </si>
  <si>
    <t>FSC19001_980160795_20190329_12_case.pptx</t>
  </si>
  <si>
    <t>FSC18015_326282_20180330_12_case.pptx</t>
  </si>
  <si>
    <t>FSC18063_980009095_20190315_12_case.pptx</t>
  </si>
  <si>
    <t>FSC18062_326282_20190405_12_case.pptx</t>
  </si>
  <si>
    <t>FSC19019_980158538_20190510_12_case.pptx</t>
  </si>
  <si>
    <t>FSC18015_326282_20180518_12_case.pptx</t>
  </si>
  <si>
    <t>FSC18036_292255_20180608_12_case.pptx</t>
  </si>
  <si>
    <t>FSC18041_105782_20180615_12_case.pptx</t>
  </si>
  <si>
    <t>FSC18019_105119_20180406_12_case.pptx</t>
  </si>
  <si>
    <t>FSC18115_326282_20190201_12_case.pptx</t>
  </si>
  <si>
    <t>FSC18043_281210_20180601_12_case.pptx</t>
  </si>
  <si>
    <t>FSC18113_567934_20181207_12_case.pptx</t>
  </si>
  <si>
    <t>FSC18062_326282_20181005_12_case.pptx</t>
  </si>
  <si>
    <t>FSC18038_980116456_20180601_12_case.pptx</t>
  </si>
  <si>
    <t>FSC18027_271174_20180413_12_case.pptx</t>
  </si>
  <si>
    <t>FSC17141_980068089_20180518_12_case.pptx</t>
  </si>
  <si>
    <t>FSC18063_980009095_20190308_12_case.pptx</t>
  </si>
  <si>
    <t>FSC19019_980075462_20190510_12_case.pptx</t>
  </si>
  <si>
    <t>FSC18091_980000614_20181123_12_case.pptx</t>
  </si>
  <si>
    <t>FSC18099_980095235_20181123_12_case.pptx</t>
  </si>
  <si>
    <t>FSC18099_980095236_20181123_12_case.pptx</t>
  </si>
  <si>
    <t>FSC18120_980126238_20190111_12_case.pptx</t>
  </si>
  <si>
    <t>FSC19001_11260_20190329_12_case.pptx</t>
  </si>
  <si>
    <t>FSC18109_980140787_20190104_12_case.pptx</t>
  </si>
  <si>
    <t>FSC18075_57116_20181005_12_case.pptx</t>
  </si>
  <si>
    <t>FSC18035_850895_20180518_12_case.pptx</t>
  </si>
  <si>
    <t>FSC18091_980000614_20181207_12_case.pptx</t>
  </si>
  <si>
    <t>FSC18130_980169086_20190412_12_case.pptx</t>
  </si>
  <si>
    <t>FSC17141_980081302_20180518_12_case.pptx</t>
  </si>
  <si>
    <t>FSC19001_825714_20190329_12_case.pptx</t>
  </si>
  <si>
    <t>FSC18114_980116253_20190111_12_case.pptx</t>
  </si>
  <si>
    <t>FSC18091_980143448_20181123_12_case.pptx</t>
  </si>
  <si>
    <t>FSC18036_846162_20180608_12_case.pptx</t>
  </si>
  <si>
    <t>FSC18041_151141_20180615_12_case.pptx</t>
  </si>
  <si>
    <t>FSC18099_980115834_20181123_12_case.pptx</t>
  </si>
  <si>
    <t>FSC19019_980099638_20190510_12_case.pptx</t>
  </si>
  <si>
    <t>FSC18091_980143448_20181207_12_case.pptx</t>
  </si>
  <si>
    <t>FSC18012_980096234_20180406_12_case.pptx</t>
  </si>
  <si>
    <t>FSC18036_37170_20180608_12_case.pptx</t>
  </si>
  <si>
    <t>FSC18031_980093167_20180511_12_case.pptx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</si>
</sst>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9" fontId="0" fillId="2" borderId="0" xfId="1" applyFont="1" applyFill="1"/>
    <xf numFmtId="14" fontId="0" fillId="2" borderId="0" xfId="1" applyNumberFormat="1" applyFont="1" applyFill="1"/>
    <xf numFmtId="14" fontId="0" fillId="3" borderId="0" xfId="0" applyNumberFormat="1" applyFill="1"/>
    <xf numFmtId="0" fontId="0" fillId="3" borderId="0" xfId="0" applyFill="1"/>
    <xf numFmtId="0" fontId="0" fillId="5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  <xf numFmtId="9" fontId="0" fillId="0" borderId="0" xfId="1" applyFont="1"/>
    <xf numFmtId="14" fontId="0" fillId="0" borderId="0" xfId="1" applyNumberFormat="1" applyFont="1"/>
    <xf numFmtId="14" fontId="0" fillId="0" borderId="0" xfId="0" applyNumberFormat="1"/>
    <xf numFmtId="164" fontId="0" fillId="0" borderId="0" xfId="1" applyNumberFormat="1" applyFont="1"/>
    <xf numFmtId="0" fontId="2" fillId="2" borderId="0" xfId="0" applyFont="1" applyFill="1"/>
    <xf numFmtId="9" fontId="2" fillId="2" borderId="0" xfId="1" applyFont="1" applyFill="1"/>
    <xf numFmtId="14" fontId="2" fillId="2" borderId="0" xfId="1" applyNumberFormat="1" applyFont="1" applyFill="1"/>
    <xf numFmtId="14" fontId="2" fillId="3" borderId="0" xfId="0" applyNumberFormat="1" applyFont="1" applyFill="1"/>
    <xf numFmtId="0" fontId="2" fillId="3" borderId="0" xfId="0" applyFont="1" applyFill="1"/>
    <xf numFmtId="164" fontId="2" fillId="4" borderId="0" xfId="1" applyNumberFormat="1" applyFont="1" applyFill="1"/>
    <xf numFmtId="164" fontId="2" fillId="3" borderId="0" xfId="1" applyNumberFormat="1" applyFont="1" applyFill="1"/>
    <xf numFmtId="0" fontId="2" fillId="5" borderId="0" xfId="0" applyFont="1" applyFill="1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9" fontId="0" fillId="3" borderId="0" xfId="1" applyFont="1" applyFill="1"/>
    <xf numFmtId="9" fontId="2" fillId="3" borderId="0" xfId="1" applyFont="1" applyFill="1"/>
    <xf numFmtId="2" fontId="2" fillId="3" borderId="0" xfId="0" applyNumberFormat="1" applyFont="1" applyFill="1"/>
    <xf numFmtId="2" fontId="0" fillId="3" borderId="0" xfId="0" applyNumberFormat="1" applyFill="1"/>
    <xf numFmtId="2" fontId="0" fillId="0" borderId="0" xfId="0" applyNumberFormat="1"/>
    <xf numFmtId="0" fontId="0" fillId="2" borderId="0" xfId="0" applyNumberFormat="1" applyFill="1"/>
    <xf numFmtId="49" fontId="0" fillId="3" borderId="0" xfId="0" applyNumberFormat="1" applyFill="1"/>
    <xf numFmtId="0" fontId="0" fillId="6" borderId="0" xfId="0" applyFill="1"/>
    <xf numFmtId="14" fontId="0" fillId="6" borderId="0" xfId="0" applyNumberFormat="1" applyFill="1"/>
    <xf numFmtId="0" fontId="4" fillId="6" borderId="0" xfId="0" applyFont="1" applyFill="1"/>
    <xf numFmtId="164" fontId="0" fillId="6" borderId="0" xfId="1" applyNumberFormat="1" applyFont="1" applyFill="1" applyBorder="1"/>
    <xf numFmtId="9" fontId="0" fillId="6" borderId="0" xfId="1" applyNumberFormat="1" applyFont="1" applyFill="1" applyBorder="1"/>
    <xf numFmtId="3" fontId="0" fillId="6" borderId="0" xfId="0" applyNumberFormat="1" applyFont="1" applyFill="1" applyBorder="1"/>
    <xf numFmtId="165" fontId="0" fillId="6" borderId="0" xfId="0" applyNumberFormat="1" applyFont="1" applyFill="1" applyBorder="1"/>
    <xf numFmtId="0" fontId="0" fillId="6" borderId="0" xfId="0" applyFont="1" applyFill="1"/>
    <xf numFmtId="0" fontId="4" fillId="6" borderId="0" xfId="0" applyFont="1" applyFill="1" applyAlignment="1">
      <alignment horizontal="right"/>
    </xf>
    <xf numFmtId="166" fontId="0" fillId="6" borderId="0" xfId="0" applyNumberFormat="1" applyFont="1" applyFill="1" applyBorder="1"/>
    <xf numFmtId="0" fontId="4" fillId="6" borderId="0" xfId="0" applyFont="1" applyFill="1" applyAlignment="1">
      <alignment horizontal="center"/>
    </xf>
    <xf numFmtId="9" fontId="0" fillId="6" borderId="0" xfId="1" applyFont="1" applyFill="1"/>
    <xf numFmtId="164" fontId="0" fillId="6" borderId="0" xfId="1" applyNumberFormat="1" applyFont="1" applyFill="1"/>
    <xf numFmtId="3" fontId="0" fillId="6" borderId="0" xfId="1" applyNumberFormat="1" applyFont="1" applyFill="1"/>
    <xf numFmtId="0" fontId="0" fillId="7" borderId="0" xfId="0" applyFill="1"/>
    <xf numFmtId="164" fontId="0" fillId="7" borderId="0" xfId="1" applyNumberFormat="1" applyFont="1" applyFill="1"/>
    <xf numFmtId="9" fontId="0" fillId="7" borderId="0" xfId="1" applyFont="1" applyFill="1"/>
    <xf numFmtId="9" fontId="9" fillId="7" borderId="0" xfId="1" applyFont="1" applyFill="1" applyBorder="1" applyAlignment="1">
      <alignment horizontal="center"/>
    </xf>
    <xf numFmtId="0" fontId="9" fillId="7" borderId="1" xfId="0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9" fontId="9" fillId="7" borderId="1" xfId="1" applyFont="1" applyFill="1" applyBorder="1" applyAlignment="1">
      <alignment horizontal="center"/>
    </xf>
    <xf numFmtId="164" fontId="9" fillId="7" borderId="2" xfId="1" applyNumberFormat="1" applyFont="1" applyFill="1" applyBorder="1"/>
    <xf numFmtId="9" fontId="9" fillId="7" borderId="2" xfId="1" applyFont="1" applyFill="1" applyBorder="1"/>
    <xf numFmtId="0" fontId="11" fillId="7" borderId="0" xfId="0" applyFont="1" applyFill="1"/>
    <xf numFmtId="164" fontId="11" fillId="7" borderId="0" xfId="1" applyNumberFormat="1" applyFont="1" applyFill="1"/>
    <xf numFmtId="9" fontId="11" fillId="7" borderId="0" xfId="1" applyFont="1" applyFill="1"/>
    <xf numFmtId="9" fontId="10" fillId="7" borderId="0" xfId="1" applyFont="1" applyFill="1"/>
    <xf numFmtId="9" fontId="13" fillId="7" borderId="0" xfId="1" applyFont="1" applyFill="1"/>
    <xf numFmtId="0" fontId="8" fillId="7" borderId="0" xfId="0" applyFont="1" applyFill="1"/>
    <xf numFmtId="164" fontId="8" fillId="7" borderId="0" xfId="1" applyNumberFormat="1" applyFont="1" applyFill="1"/>
    <xf numFmtId="9" fontId="8" fillId="7" borderId="0" xfId="1" applyFont="1" applyFill="1"/>
    <xf numFmtId="164" fontId="13" fillId="7" borderId="0" xfId="1" applyNumberFormat="1" applyFont="1" applyFill="1"/>
    <xf numFmtId="164" fontId="12" fillId="7" borderId="0" xfId="1" applyNumberFormat="1" applyFont="1" applyFill="1"/>
    <xf numFmtId="9" fontId="7" fillId="7" borderId="0" xfId="1" applyFont="1" applyFill="1"/>
    <xf numFmtId="9" fontId="12" fillId="7" borderId="0" xfId="1" applyFont="1" applyFill="1"/>
    <xf numFmtId="164" fontId="7" fillId="7" borderId="0" xfId="1" applyNumberFormat="1" applyFont="1" applyFill="1"/>
    <xf numFmtId="164" fontId="10" fillId="7" borderId="0" xfId="1" applyNumberFormat="1" applyFont="1" applyFill="1"/>
    <xf numFmtId="0" fontId="0" fillId="7" borderId="0" xfId="0" applyFont="1" applyFill="1"/>
    <xf numFmtId="164" fontId="6" fillId="7" borderId="0" xfId="1" applyNumberFormat="1" applyFont="1" applyFill="1"/>
    <xf numFmtId="9" fontId="6" fillId="7" borderId="0" xfId="1" applyFont="1" applyFill="1"/>
    <xf numFmtId="0" fontId="15" fillId="6" borderId="0" xfId="0" applyFont="1" applyFill="1"/>
    <xf numFmtId="9" fontId="16" fillId="6" borderId="0" xfId="1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164" fontId="15" fillId="6" borderId="0" xfId="1" applyNumberFormat="1" applyFont="1" applyFill="1"/>
    <xf numFmtId="9" fontId="15" fillId="6" borderId="0" xfId="1" applyFont="1" applyFill="1"/>
    <xf numFmtId="0" fontId="5" fillId="6" borderId="0" xfId="0" applyFont="1" applyFill="1" applyAlignment="1">
      <alignment horizontal="right"/>
    </xf>
    <xf numFmtId="0" fontId="16" fillId="6" borderId="0" xfId="0" applyFont="1" applyFill="1" applyAlignment="1">
      <alignment horizontal="right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/>
    </xf>
    <xf numFmtId="0" fontId="17" fillId="0" borderId="0" xfId="2"/>
    <xf numFmtId="0" fontId="17" fillId="2" borderId="0" xfId="2" applyFill="1"/>
    <xf numFmtId="0" fontId="17" fillId="2" borderId="0" xfId="2" applyNumberFormat="1" applyFill="1"/>
    <xf numFmtId="0" fontId="6" fillId="7" borderId="0" xfId="0" applyFont="1" applyFill="1" applyAlignment="1">
      <alignment horizontal="left"/>
    </xf>
    <xf numFmtId="0" fontId="9" fillId="7" borderId="2" xfId="0" applyFont="1" applyFill="1" applyBorder="1" applyAlignment="1">
      <alignment horizontal="left"/>
    </xf>
    <xf numFmtId="0" fontId="9" fillId="7" borderId="0" xfId="0" applyFont="1" applyFill="1" applyBorder="1" applyAlignment="1">
      <alignment horizontal="left" vertical="center"/>
    </xf>
    <xf numFmtId="164" fontId="11" fillId="8" borderId="0" xfId="1" applyNumberFormat="1" applyFont="1" applyFill="1" applyAlignment="1">
      <alignment horizontal="center"/>
    </xf>
    <xf numFmtId="0" fontId="4" fillId="6" borderId="0" xfId="0" applyFont="1" applyFill="1" applyAlignment="1">
      <alignment horizontal="right"/>
    </xf>
    <xf numFmtId="9" fontId="9" fillId="7" borderId="0" xfId="1" applyFont="1" applyFill="1" applyBorder="1" applyAlignment="1">
      <alignment horizontal="center" wrapText="1"/>
    </xf>
    <xf numFmtId="9" fontId="9" fillId="7" borderId="1" xfId="1" applyFont="1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31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64" formatCode="0.0%"/>
      <fill>
        <patternFill patternType="solid">
          <fgColor indexed="64"/>
          <bgColor theme="8" tint="0.79998168889431442"/>
        </patternFill>
      </fill>
    </dxf>
    <dxf>
      <numFmt numFmtId="164" formatCode="0.0%"/>
      <fill>
        <patternFill patternType="solid">
          <fgColor indexed="64"/>
          <bgColor theme="7"/>
        </patternFill>
      </fill>
    </dxf>
    <dxf>
      <numFmt numFmtId="164" formatCode="0.0%"/>
      <fill>
        <patternFill patternType="solid">
          <fgColor indexed="64"/>
          <bgColor theme="7"/>
        </patternFill>
      </fill>
    </dxf>
    <dxf>
      <numFmt numFmtId="2" formatCode="0.00"/>
      <fill>
        <patternFill patternType="solid">
          <fgColor indexed="64"/>
          <bgColor theme="8" tint="0.79998168889431442"/>
        </patternFill>
      </fill>
    </dxf>
    <dxf>
      <numFmt numFmtId="2" formatCode="0.00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67" formatCode="m/d/yyyy"/>
      <fill>
        <patternFill patternType="solid">
          <fgColor indexed="64"/>
          <bgColor theme="8" tint="0.79998168889431442"/>
        </patternFill>
      </fill>
    </dxf>
    <dxf>
      <numFmt numFmtId="30" formatCode="@"/>
      <fill>
        <patternFill patternType="solid">
          <fgColor indexed="64"/>
          <bgColor theme="8" tint="0.79998168889431442"/>
        </patternFill>
      </fill>
    </dxf>
    <dxf>
      <numFmt numFmtId="167" formatCode="m/d/yyyy"/>
      <fill>
        <patternFill patternType="solid">
          <fgColor indexed="64"/>
          <bgColor theme="8" tint="0.79998168889431442"/>
        </patternFill>
      </fill>
    </dxf>
    <dxf>
      <numFmt numFmtId="167" formatCode="m/d/yyyy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left" vertical="bottom" textRotation="0" wrapText="1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alignment horizontal="left" vertical="bottom" textRotation="0" wrapText="1" indent="0" justifyLastLine="0" shrinkToFit="0" readingOrder="0"/>
    </dxf>
    <dxf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hleigh/GIT/analytics_report_builder/F_ANALYTICS_longitudinals%20-%20Composite%20and%20Assembled/all_longitudinal_c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fig"/>
      <sheetName val="itm"/>
      <sheetName val="sum"/>
      <sheetName val="nf"/>
      <sheetName val="str"/>
      <sheetName val="pmc"/>
      <sheetName val="rmc"/>
      <sheetName val="cfg"/>
      <sheetName val="img"/>
      <sheetName val="port"/>
      <sheetName val="pgm_list"/>
      <sheetName val="variables"/>
      <sheetName val="c_inputs"/>
      <sheetName val="c_parse_cfg"/>
      <sheetName val="c_cfg"/>
      <sheetName val="c_sum"/>
      <sheetName val="c_sales"/>
      <sheetName val="c_lift"/>
      <sheetName val="c_metrics"/>
      <sheetName val="c_port"/>
      <sheetName val="c_sales_1"/>
      <sheetName val="c_sales_2"/>
      <sheetName val="p_sales"/>
      <sheetName val="p_sales_case"/>
      <sheetName val="p_lift"/>
      <sheetName val="p_delay"/>
      <sheetName val="p_ABC"/>
      <sheetName val="p_P2i_sales_2"/>
      <sheetName val="p_P2i_lift_2"/>
      <sheetName val="p_P2i_ABC_scaled"/>
      <sheetName val="p_ABC_scaled"/>
      <sheetName val="ScalingFactors"/>
      <sheetName val="ppt_charts"/>
      <sheetName val="ppt_subs"/>
      <sheetName val="name_subs"/>
      <sheetName val="ppt_images"/>
      <sheetName val="pre-output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3">
          <cell r="B13">
            <v>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146CF-321B-4B69-9AF6-C8584E6C34A3}" name="ListingTable" displayName="ListingTable" ref="A1:AH172" totalsRowShown="0" headerRowDxfId="30">
  <autoFilter ref="A1:AH172" xr:uid="{A8C1E028-B0CC-4547-A7DF-C17DA9C6603A}"/>
  <sortState xmlns:xlrd2="http://schemas.microsoft.com/office/spreadsheetml/2017/richdata2" ref="A2:AH172">
    <sortCondition descending="1" ref="W2:W172"/>
  </sortState>
  <tableColumns count="34">
    <tableColumn id="1" xr3:uid="{E6338F29-6B6D-4FBA-AF9B-0C69C4AEE26C}" name="Program"/>
    <tableColumn id="35" xr3:uid="{C0B5427E-6933-4131-B92A-0252032AD8BF}" name="Case File" dataDxfId="29">
      <calculatedColumnFormula>SUBSTITUTE(ListingTable[[#This Row],[Program]],".zip","_case.pptx")</calculatedColumnFormula>
    </tableColumn>
    <tableColumn id="33" xr3:uid="{52E154A3-BEE2-4811-8669-772877B20598}" name="Case File Link" dataDxfId="28"/>
    <tableColumn id="30" xr3:uid="{7DEF30EB-6F4E-428E-8B4F-9BDCA8900530}" name="Tags" dataDxfId="27"/>
    <tableColumn id="32" xr3:uid="{A48909B6-6DC4-485F-B65E-F840E6E1448E}" name="Notes" dataDxfId="26"/>
    <tableColumn id="27" xr3:uid="{7F769592-3F3A-4413-B8E1-B5F7C513004F}" name="Weeks post" dataDxfId="25" dataCellStyle="Percent"/>
    <tableColumn id="28" xr3:uid="{74F3DB14-860F-4087-ADC4-9158D4437D78}" name="Start date" dataDxfId="24" dataCellStyle="Percent"/>
    <tableColumn id="2" xr3:uid="{6F3A7D24-A57E-4F9E-9011-D9DD083EA32A}" name="End date" dataDxfId="23"/>
    <tableColumn id="3" xr3:uid="{B6703070-D584-4F74-BB1E-008F5A242940}" name="Item number" dataDxfId="22"/>
    <tableColumn id="4" xr3:uid="{EF22CAF5-02EB-4EA4-B301-75923DA8FF07}" name="Item description" dataDxfId="21"/>
    <tableColumn id="5" xr3:uid="{89868F7A-C99D-4892-89C8-8F18BE2FF438}" name="Category" dataDxfId="20"/>
    <tableColumn id="6" xr3:uid="{A5EC9D31-9A84-4DDB-8F09-93D0338961D8}" name="Subcategory" dataDxfId="19"/>
    <tableColumn id="7" xr3:uid="{8CF4055B-E080-460D-99F9-4362B1C97C12}" name="Category Num" dataDxfId="18"/>
    <tableColumn id="8" xr3:uid="{1A10725E-46CA-4FE4-AE15-88A2B125CE71}" name="Subcat Num" dataDxfId="17"/>
    <tableColumn id="9" xr3:uid="{17121168-6D01-4D99-81E7-92126C8D831C}" name="Freeosk clubs" dataDxfId="16"/>
    <tableColumn id="10" xr3:uid="{C48FCD12-0664-4D6A-80F1-D2B07B945859}" name="Control clubs" dataDxfId="15"/>
    <tableColumn id="11" xr3:uid="{C7DD0C38-8D5B-41CD-90DE-C7B7E53C7E6D}" name="Transactions" dataDxfId="14"/>
    <tableColumn id="12" xr3:uid="{16ECAAB9-F27A-42C2-AD47-E0678E41A8ED}" name="Scans" dataDxfId="13"/>
    <tableColumn id="13" xr3:uid="{DEE57668-AF79-4F68-B201-EB3DB8D8866E}" name="Traffic/club" dataDxfId="12"/>
    <tableColumn id="14" xr3:uid="{B666DEC9-F3D7-4A47-9BB0-59E3DCFF2E2F}" name="Scans/club" dataDxfId="11"/>
    <tableColumn id="15" xr3:uid="{428B1C40-2567-444A-8081-95D27C9A5049}" name="Engagement" dataDxfId="10" dataCellStyle="Percent"/>
    <tableColumn id="16" xr3:uid="{7E019C67-95A7-4167-BEBF-62EA53A388B0}" name="Conversion" dataDxfId="9" dataCellStyle="Percent"/>
    <tableColumn id="17" xr3:uid="{69C9189F-F719-4550-939F-465758D1FDC5}" name="Repeat" dataDxfId="8" dataCellStyle="Percent"/>
    <tableColumn id="18" xr3:uid="{BE048FC7-969D-4BA1-8249-8D3B17002B72}" name="Immediate" dataDxfId="7" dataCellStyle="Percent"/>
    <tableColumn id="19" xr3:uid="{81B664C3-BE73-4ABA-9C83-5EFA4A070BEA}" name="A%" dataDxfId="6" dataCellStyle="Percent"/>
    <tableColumn id="20" xr3:uid="{C27CFA6D-6509-451F-83E3-AC20C4C9E963}" name="B%" dataDxfId="5" dataCellStyle="Percent"/>
    <tableColumn id="21" xr3:uid="{4E44FB50-6BC7-4C93-BE77-841CD6A35737}" name="C%" dataDxfId="4" dataCellStyle="Percent"/>
    <tableColumn id="22" xr3:uid="{02DE4DAA-0C52-4B28-BDE6-14DEA2507CF6}" name="Freeosk Lift" dataDxfId="3" dataCellStyle="Percent"/>
    <tableColumn id="23" xr3:uid="{99B4ED91-93C1-4248-BC00-3AE6C7B39738}" name="Control Lift" dataDxfId="2" dataCellStyle="Percent"/>
    <tableColumn id="24" xr3:uid="{D7C51988-D0E5-42D8-A8CC-C0EF876C2817}" name="merchandising_type" dataDxfId="1"/>
    <tableColumn id="25" xr3:uid="{A5BF3EE8-CEB2-4AEC-A1B3-1C46EC0A8721}" name="placement_type" dataDxfId="0"/>
    <tableColumn id="26" xr3:uid="{7A997787-62F0-4FE3-885D-C98FADC22D62}" name="Program2"/>
    <tableColumn id="29" xr3:uid="{A5DA9EC9-45FE-4C26-AD6A-51F3CF46F00C}" name="Unique Identifier"/>
    <tableColumn id="31" xr3:uid="{17B5E9E6-4F12-4837-A3B5-28D4E7A91A7B}" name="F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Case%20studies\FSC18054_902467_20181130_12_case.pptx" TargetMode="External"/><Relationship Id="rId21" Type="http://schemas.openxmlformats.org/officeDocument/2006/relationships/hyperlink" Target="Case%20studies\FSC18038_608210_20180601_12_case.pptx" TargetMode="External"/><Relationship Id="rId42" Type="http://schemas.openxmlformats.org/officeDocument/2006/relationships/hyperlink" Target="Case%20studies\FSC18109_980140786_20190104_12_case.pptx" TargetMode="External"/><Relationship Id="rId63" Type="http://schemas.openxmlformats.org/officeDocument/2006/relationships/hyperlink" Target="Case%20studies\FSC18084_980139499_20181019_12_case.pptx" TargetMode="External"/><Relationship Id="rId84" Type="http://schemas.openxmlformats.org/officeDocument/2006/relationships/hyperlink" Target="Case%20studies\FSC19019_944440_20190510_12_case.pptx" TargetMode="External"/><Relationship Id="rId138" Type="http://schemas.openxmlformats.org/officeDocument/2006/relationships/hyperlink" Target="Case%20studies\FSC18036_292255_20180608_12_case.pptx" TargetMode="External"/><Relationship Id="rId159" Type="http://schemas.openxmlformats.org/officeDocument/2006/relationships/hyperlink" Target="Case%20studies\FSC18130_980169086_20190412_12_case.pptx" TargetMode="External"/><Relationship Id="rId170" Type="http://schemas.openxmlformats.org/officeDocument/2006/relationships/hyperlink" Target="Case%20studies\FSC18036_37170_20180608_12_case.pptx" TargetMode="External"/><Relationship Id="rId107" Type="http://schemas.openxmlformats.org/officeDocument/2006/relationships/hyperlink" Target="Case%20studies\FSC18114_567934_20190111_12_case.pptx" TargetMode="External"/><Relationship Id="rId11" Type="http://schemas.openxmlformats.org/officeDocument/2006/relationships/hyperlink" Target="Case%20studies\FSC18123_793064_20190215_12_case.pptx" TargetMode="External"/><Relationship Id="rId32" Type="http://schemas.openxmlformats.org/officeDocument/2006/relationships/hyperlink" Target="Case%20studies\FSC18063_40783_20190315_12_case.pptx" TargetMode="External"/><Relationship Id="rId53" Type="http://schemas.openxmlformats.org/officeDocument/2006/relationships/hyperlink" Target="Case%20studies\FSC18098_980114984_20181102_12_case.pptx" TargetMode="External"/><Relationship Id="rId74" Type="http://schemas.openxmlformats.org/officeDocument/2006/relationships/hyperlink" Target="Case%20studies\FSC18075_567934_20181005_12_case.pptx" TargetMode="External"/><Relationship Id="rId128" Type="http://schemas.openxmlformats.org/officeDocument/2006/relationships/hyperlink" Target="Case%20studies\FSC18011_351889_20180330_12_case.pptx" TargetMode="External"/><Relationship Id="rId149" Type="http://schemas.openxmlformats.org/officeDocument/2006/relationships/hyperlink" Target="Case%20studies\FSC19019_980075462_20190510_12_case.pptx" TargetMode="External"/><Relationship Id="rId5" Type="http://schemas.openxmlformats.org/officeDocument/2006/relationships/hyperlink" Target="Case%20studies\FSC18075_57091_20181005_12_case.pptx" TargetMode="External"/><Relationship Id="rId95" Type="http://schemas.openxmlformats.org/officeDocument/2006/relationships/hyperlink" Target="Case%20studies\FSC18109_980140785_20190104_12_case.pptx" TargetMode="External"/><Relationship Id="rId160" Type="http://schemas.openxmlformats.org/officeDocument/2006/relationships/hyperlink" Target="Case%20studies\FSC17141_980081302_20180518_12_case.pptx" TargetMode="External"/><Relationship Id="rId22" Type="http://schemas.openxmlformats.org/officeDocument/2006/relationships/hyperlink" Target="Case%20studies\FSC18018_190736_20180525_12_case.pptx" TargetMode="External"/><Relationship Id="rId43" Type="http://schemas.openxmlformats.org/officeDocument/2006/relationships/hyperlink" Target="Case%20studies\FSC19014_724211_20190405_12_case.pptx" TargetMode="External"/><Relationship Id="rId64" Type="http://schemas.openxmlformats.org/officeDocument/2006/relationships/hyperlink" Target="Case%20studies\FSC18055_980074723_20181109_12_case.pptx" TargetMode="External"/><Relationship Id="rId118" Type="http://schemas.openxmlformats.org/officeDocument/2006/relationships/hyperlink" Target="Case%20studies\FSC18096_980126238_20181207_12_case.pptx" TargetMode="External"/><Relationship Id="rId139" Type="http://schemas.openxmlformats.org/officeDocument/2006/relationships/hyperlink" Target="Case%20studies\FSC18041_105782_20180615_12_case.pptx" TargetMode="External"/><Relationship Id="rId85" Type="http://schemas.openxmlformats.org/officeDocument/2006/relationships/hyperlink" Target="Case%20studies\FSC18083_980114984_20181109_12_case.pptx" TargetMode="External"/><Relationship Id="rId150" Type="http://schemas.openxmlformats.org/officeDocument/2006/relationships/hyperlink" Target="Case%20studies\FSC18091_980000614_20181123_12_case.pptx" TargetMode="External"/><Relationship Id="rId171" Type="http://schemas.openxmlformats.org/officeDocument/2006/relationships/hyperlink" Target="Case%20studies\FSC18031_980093167_20180511_12_case.pptx" TargetMode="External"/><Relationship Id="rId12" Type="http://schemas.openxmlformats.org/officeDocument/2006/relationships/hyperlink" Target="Case%20studies\FSC19004_980157831_20190308_12_case.pptx" TargetMode="External"/><Relationship Id="rId33" Type="http://schemas.openxmlformats.org/officeDocument/2006/relationships/hyperlink" Target="Case%20studies\FSC18132_980176062_20190208_12_case.pptx" TargetMode="External"/><Relationship Id="rId108" Type="http://schemas.openxmlformats.org/officeDocument/2006/relationships/hyperlink" Target="Case%20studies\FSC18094_605629_20181123_12_case.pptx" TargetMode="External"/><Relationship Id="rId129" Type="http://schemas.openxmlformats.org/officeDocument/2006/relationships/hyperlink" Target="Case%20studies\FSC18036_283398_20180608_12_case.pptx" TargetMode="External"/><Relationship Id="rId54" Type="http://schemas.openxmlformats.org/officeDocument/2006/relationships/hyperlink" Target="Case%20studies\FSC18055_980074723_20181102_12_case.pptx" TargetMode="External"/><Relationship Id="rId75" Type="http://schemas.openxmlformats.org/officeDocument/2006/relationships/hyperlink" Target="Case%20studies\FSC18062_567934_20181005_12_case.pptx" TargetMode="External"/><Relationship Id="rId96" Type="http://schemas.openxmlformats.org/officeDocument/2006/relationships/hyperlink" Target="Case%20studies\FSC18087_980136022_20181005_12_case.pptx" TargetMode="External"/><Relationship Id="rId140" Type="http://schemas.openxmlformats.org/officeDocument/2006/relationships/hyperlink" Target="Case%20studies\FSC18019_105119_20180406_12_case.pptx" TargetMode="External"/><Relationship Id="rId161" Type="http://schemas.openxmlformats.org/officeDocument/2006/relationships/hyperlink" Target="Case%20studies\FSC19001_825714_20190329_12_case.pptx" TargetMode="External"/><Relationship Id="rId1" Type="http://schemas.openxmlformats.org/officeDocument/2006/relationships/hyperlink" Target="Case%20studies\FSC19006_247824_20190308_12_case.pptx" TargetMode="External"/><Relationship Id="rId6" Type="http://schemas.openxmlformats.org/officeDocument/2006/relationships/hyperlink" Target="Case%20studies\FSC19022_793064_20190510_12_case.pptx" TargetMode="External"/><Relationship Id="rId23" Type="http://schemas.openxmlformats.org/officeDocument/2006/relationships/hyperlink" Target="Case%20studies\FSC19004_980156320_20190308_12_case.pptx" TargetMode="External"/><Relationship Id="rId28" Type="http://schemas.openxmlformats.org/officeDocument/2006/relationships/hyperlink" Target="Case%20studies\FSC18034_555501_20180601_12_case.pptx" TargetMode="External"/><Relationship Id="rId49" Type="http://schemas.openxmlformats.org/officeDocument/2006/relationships/hyperlink" Target="Case%20studies\FSC19012_787157_20190322_12_case.pptx" TargetMode="External"/><Relationship Id="rId114" Type="http://schemas.openxmlformats.org/officeDocument/2006/relationships/hyperlink" Target="Case%20studies\FSC18120_226365_20190111_12_case.pptx" TargetMode="External"/><Relationship Id="rId119" Type="http://schemas.openxmlformats.org/officeDocument/2006/relationships/hyperlink" Target="Case%20studies\FSC18041_469800_20180615_12_case.pptx" TargetMode="External"/><Relationship Id="rId44" Type="http://schemas.openxmlformats.org/officeDocument/2006/relationships/hyperlink" Target="Case%20studies\FSC18063_40783_20190308_12_case.pptx" TargetMode="External"/><Relationship Id="rId60" Type="http://schemas.openxmlformats.org/officeDocument/2006/relationships/hyperlink" Target="Case%20studies\FSC18018_709743_20180525_12_case.pptx" TargetMode="External"/><Relationship Id="rId65" Type="http://schemas.openxmlformats.org/officeDocument/2006/relationships/hyperlink" Target="Case%20studies\FSC18108_567934_20181207_12_case.pptx" TargetMode="External"/><Relationship Id="rId81" Type="http://schemas.openxmlformats.org/officeDocument/2006/relationships/hyperlink" Target="Case%20studies\FSC18109_567934_20190104_12_case.pptx" TargetMode="External"/><Relationship Id="rId86" Type="http://schemas.openxmlformats.org/officeDocument/2006/relationships/hyperlink" Target="Case%20studies\FSC18028_839559_20180615_12_case.pptx" TargetMode="External"/><Relationship Id="rId130" Type="http://schemas.openxmlformats.org/officeDocument/2006/relationships/hyperlink" Target="Case%20studies\FSC18063_713998_20190315_12_case.pptx" TargetMode="External"/><Relationship Id="rId135" Type="http://schemas.openxmlformats.org/officeDocument/2006/relationships/hyperlink" Target="Case%20studies\FSC18062_326282_20190405_12_case.pptx" TargetMode="External"/><Relationship Id="rId151" Type="http://schemas.openxmlformats.org/officeDocument/2006/relationships/hyperlink" Target="Case%20studies\FSC18099_980095235_20181123_12_case.pptx" TargetMode="External"/><Relationship Id="rId156" Type="http://schemas.openxmlformats.org/officeDocument/2006/relationships/hyperlink" Target="Case%20studies\FSC18075_57116_20181005_12_case.pptx" TargetMode="External"/><Relationship Id="rId172" Type="http://schemas.openxmlformats.org/officeDocument/2006/relationships/printerSettings" Target="../printerSettings/printerSettings2.bin"/><Relationship Id="rId13" Type="http://schemas.openxmlformats.org/officeDocument/2006/relationships/hyperlink" Target="Case%20studies\FSC18082_728178_20181012_12_case.pptx" TargetMode="External"/><Relationship Id="rId18" Type="http://schemas.openxmlformats.org/officeDocument/2006/relationships/hyperlink" Target="Case%20studies\FSC18075_57189_20181005_12_case.pptx" TargetMode="External"/><Relationship Id="rId39" Type="http://schemas.openxmlformats.org/officeDocument/2006/relationships/hyperlink" Target="Case%20studies\FSC18069_980115793_20181012_12_case.pptx" TargetMode="External"/><Relationship Id="rId109" Type="http://schemas.openxmlformats.org/officeDocument/2006/relationships/hyperlink" Target="Case%20studies\FSC18087_980136022_20190419_12_case.pptx" TargetMode="External"/><Relationship Id="rId34" Type="http://schemas.openxmlformats.org/officeDocument/2006/relationships/hyperlink" Target="Case%20studies\FSC18115_980059391_20190201_12_case.pptx" TargetMode="External"/><Relationship Id="rId50" Type="http://schemas.openxmlformats.org/officeDocument/2006/relationships/hyperlink" Target="Case%20studies\FSC18122_555508_20190125_12_case.pptx" TargetMode="External"/><Relationship Id="rId55" Type="http://schemas.openxmlformats.org/officeDocument/2006/relationships/hyperlink" Target="Case%20studies\FSC18124_980176058_20190322_12_case.pptx" TargetMode="External"/><Relationship Id="rId76" Type="http://schemas.openxmlformats.org/officeDocument/2006/relationships/hyperlink" Target="Case%20studies\FSC18093_11808_20181005_12_case.pptx" TargetMode="External"/><Relationship Id="rId97" Type="http://schemas.openxmlformats.org/officeDocument/2006/relationships/hyperlink" Target="Case%20studies\FSC18010_788103_20180420_12_case.pptx" TargetMode="External"/><Relationship Id="rId104" Type="http://schemas.openxmlformats.org/officeDocument/2006/relationships/hyperlink" Target="Case%20studies\FSC18026_980010669_20180427_12_case.pptx" TargetMode="External"/><Relationship Id="rId120" Type="http://schemas.openxmlformats.org/officeDocument/2006/relationships/hyperlink" Target="Case%20studies\FSC18041_70690_20180615_12_case.pptx" TargetMode="External"/><Relationship Id="rId125" Type="http://schemas.openxmlformats.org/officeDocument/2006/relationships/hyperlink" Target="Case%20studies\FSC18036_66683_20180608_12_case.pptx" TargetMode="External"/><Relationship Id="rId141" Type="http://schemas.openxmlformats.org/officeDocument/2006/relationships/hyperlink" Target="Case%20studies\FSC18115_326282_20190201_12_case.pptx" TargetMode="External"/><Relationship Id="rId146" Type="http://schemas.openxmlformats.org/officeDocument/2006/relationships/hyperlink" Target="Case%20studies\FSC18027_271174_20180413_12_case.pptx" TargetMode="External"/><Relationship Id="rId167" Type="http://schemas.openxmlformats.org/officeDocument/2006/relationships/hyperlink" Target="Case%20studies\FSC19019_980099638_20190510_12_case.pptx" TargetMode="External"/><Relationship Id="rId7" Type="http://schemas.openxmlformats.org/officeDocument/2006/relationships/hyperlink" Target="Case%20studies\FSC19006_151618_20190308_12_case.pptx" TargetMode="External"/><Relationship Id="rId71" Type="http://schemas.openxmlformats.org/officeDocument/2006/relationships/hyperlink" Target="Case%20studies\FSC18022_980011652_20180406_12_case.pptx" TargetMode="External"/><Relationship Id="rId92" Type="http://schemas.openxmlformats.org/officeDocument/2006/relationships/hyperlink" Target="Case%20studies\FSC18113_281210_20181207_12_case.pptx" TargetMode="External"/><Relationship Id="rId162" Type="http://schemas.openxmlformats.org/officeDocument/2006/relationships/hyperlink" Target="Case%20studies\FSC18114_980116253_20190111_12_case.pptx" TargetMode="External"/><Relationship Id="rId2" Type="http://schemas.openxmlformats.org/officeDocument/2006/relationships/hyperlink" Target="Case%20studies\FSC18026_729234_20180427_12_case.pptx" TargetMode="External"/><Relationship Id="rId29" Type="http://schemas.openxmlformats.org/officeDocument/2006/relationships/hyperlink" Target="Case%20studies\FSC18086_608210_20181109_12_case.pptx" TargetMode="External"/><Relationship Id="rId24" Type="http://schemas.openxmlformats.org/officeDocument/2006/relationships/hyperlink" Target="Case%20studies\FSC18081_980109044_20181012_12_case.pptx" TargetMode="External"/><Relationship Id="rId40" Type="http://schemas.openxmlformats.org/officeDocument/2006/relationships/hyperlink" Target="Case%20studies\FSC18055_980074723_20190111_12_case.pptx" TargetMode="External"/><Relationship Id="rId45" Type="http://schemas.openxmlformats.org/officeDocument/2006/relationships/hyperlink" Target="Case%20studies\FSC19005_980113648_20190503_12_case.pptx" TargetMode="External"/><Relationship Id="rId66" Type="http://schemas.openxmlformats.org/officeDocument/2006/relationships/hyperlink" Target="Case%20studies\FSC18024_980011652_20180413_12_case.pptx" TargetMode="External"/><Relationship Id="rId87" Type="http://schemas.openxmlformats.org/officeDocument/2006/relationships/hyperlink" Target="Case%20studies\FSC18088_850799_20181026_12_case.pptx" TargetMode="External"/><Relationship Id="rId110" Type="http://schemas.openxmlformats.org/officeDocument/2006/relationships/hyperlink" Target="Case%20studies\FSC19010_980186688_20190510_12_case.pptx" TargetMode="External"/><Relationship Id="rId115" Type="http://schemas.openxmlformats.org/officeDocument/2006/relationships/hyperlink" Target="Case%20studies\FSC18129_980125405_20190405_12_case.pptx" TargetMode="External"/><Relationship Id="rId131" Type="http://schemas.openxmlformats.org/officeDocument/2006/relationships/hyperlink" Target="Case%20studies\FSC18100_850895_20181115_12_case.pptx" TargetMode="External"/><Relationship Id="rId136" Type="http://schemas.openxmlformats.org/officeDocument/2006/relationships/hyperlink" Target="Case%20studies\FSC19019_980158538_20190510_12_case.pptx" TargetMode="External"/><Relationship Id="rId157" Type="http://schemas.openxmlformats.org/officeDocument/2006/relationships/hyperlink" Target="Case%20studies\FSC18035_850895_20180518_12_case.pptx" TargetMode="External"/><Relationship Id="rId61" Type="http://schemas.openxmlformats.org/officeDocument/2006/relationships/hyperlink" Target="Case%20studies\FSC18130_980169088_20190412_12_case.pptx" TargetMode="External"/><Relationship Id="rId82" Type="http://schemas.openxmlformats.org/officeDocument/2006/relationships/hyperlink" Target="Case%20studies\FSC18015_567934_20180330_12_case.pptx" TargetMode="External"/><Relationship Id="rId152" Type="http://schemas.openxmlformats.org/officeDocument/2006/relationships/hyperlink" Target="Case%20studies\FSC18099_980095236_20181123_12_case.pptx" TargetMode="External"/><Relationship Id="rId173" Type="http://schemas.openxmlformats.org/officeDocument/2006/relationships/table" Target="../tables/table1.xml"/><Relationship Id="rId19" Type="http://schemas.openxmlformats.org/officeDocument/2006/relationships/hyperlink" Target="Case%20studies\FSC17142_793064_20180615_12_case.pptx" TargetMode="External"/><Relationship Id="rId14" Type="http://schemas.openxmlformats.org/officeDocument/2006/relationships/hyperlink" Target="Case%20studies\FSC18067_793064_20181102_12_case.pptx" TargetMode="External"/><Relationship Id="rId30" Type="http://schemas.openxmlformats.org/officeDocument/2006/relationships/hyperlink" Target="Case%20studies\FSC18104_608210_20181019_12_case.pptx" TargetMode="External"/><Relationship Id="rId35" Type="http://schemas.openxmlformats.org/officeDocument/2006/relationships/hyperlink" Target="Case%20studies\FSC17142_555508_20180615_12_case.pptx" TargetMode="External"/><Relationship Id="rId56" Type="http://schemas.openxmlformats.org/officeDocument/2006/relationships/hyperlink" Target="Case%20studies\FSC18130_980169089_20190412_12_case.pptx" TargetMode="External"/><Relationship Id="rId77" Type="http://schemas.openxmlformats.org/officeDocument/2006/relationships/hyperlink" Target="Case%20studies\FSC18049_980011652_20180622_12_case.pptx" TargetMode="External"/><Relationship Id="rId100" Type="http://schemas.openxmlformats.org/officeDocument/2006/relationships/hyperlink" Target="Case%20studies\FSC18125_92801_20190125_12_case.pptx" TargetMode="External"/><Relationship Id="rId105" Type="http://schemas.openxmlformats.org/officeDocument/2006/relationships/hyperlink" Target="Case%20studies\FSC18113_281210_20181123_12_case.pptx" TargetMode="External"/><Relationship Id="rId126" Type="http://schemas.openxmlformats.org/officeDocument/2006/relationships/hyperlink" Target="Case%20studies\FSC18108_326282_20181207_12_case.pptx" TargetMode="External"/><Relationship Id="rId147" Type="http://schemas.openxmlformats.org/officeDocument/2006/relationships/hyperlink" Target="Case%20studies\FSC17141_980068089_20180518_12_case.pptx" TargetMode="External"/><Relationship Id="rId168" Type="http://schemas.openxmlformats.org/officeDocument/2006/relationships/hyperlink" Target="Case%20studies\FSC18091_980143448_20181207_12_case.pptx" TargetMode="External"/><Relationship Id="rId8" Type="http://schemas.openxmlformats.org/officeDocument/2006/relationships/hyperlink" Target="Case%20studies\FSC18090_980120051_20181221_12_case.pptx" TargetMode="External"/><Relationship Id="rId51" Type="http://schemas.openxmlformats.org/officeDocument/2006/relationships/hyperlink" Target="Case%20studies\FSC18034_555508_20180601_12_case.pptx" TargetMode="External"/><Relationship Id="rId72" Type="http://schemas.openxmlformats.org/officeDocument/2006/relationships/hyperlink" Target="Case%20studies\FSC18016_675774_20180330_12_case.pptx" TargetMode="External"/><Relationship Id="rId93" Type="http://schemas.openxmlformats.org/officeDocument/2006/relationships/hyperlink" Target="Case%20studies\FSC18113_567934_20181123_12_case.pptx" TargetMode="External"/><Relationship Id="rId98" Type="http://schemas.openxmlformats.org/officeDocument/2006/relationships/hyperlink" Target="Case%20studies\FSC18036_944440_20180608_12_case.pptx" TargetMode="External"/><Relationship Id="rId121" Type="http://schemas.openxmlformats.org/officeDocument/2006/relationships/hyperlink" Target="Case%20studies\FSC18088_92801_20181026_12_case.pptx" TargetMode="External"/><Relationship Id="rId142" Type="http://schemas.openxmlformats.org/officeDocument/2006/relationships/hyperlink" Target="Case%20studies\FSC18043_281210_20180601_12_case.pptx" TargetMode="External"/><Relationship Id="rId163" Type="http://schemas.openxmlformats.org/officeDocument/2006/relationships/hyperlink" Target="Case%20studies\FSC18091_980143448_20181123_12_case.pptx" TargetMode="External"/><Relationship Id="rId3" Type="http://schemas.openxmlformats.org/officeDocument/2006/relationships/hyperlink" Target="Case%20studies\FSC18124_980135711_20190322_12_case.pptx" TargetMode="External"/><Relationship Id="rId25" Type="http://schemas.openxmlformats.org/officeDocument/2006/relationships/hyperlink" Target="Case%20studies\FSC18025_980075292_20180427_12_case.pptx" TargetMode="External"/><Relationship Id="rId46" Type="http://schemas.openxmlformats.org/officeDocument/2006/relationships/hyperlink" Target="Case%20studies\FSC19014_980003636_20190405_12_case.pptx" TargetMode="External"/><Relationship Id="rId67" Type="http://schemas.openxmlformats.org/officeDocument/2006/relationships/hyperlink" Target="Case%20studies\FSC18026_980075292_20180427_12_case.pptx" TargetMode="External"/><Relationship Id="rId116" Type="http://schemas.openxmlformats.org/officeDocument/2006/relationships/hyperlink" Target="Case%20studies\FSC19019_980172822_20190510_12_case.pptx" TargetMode="External"/><Relationship Id="rId137" Type="http://schemas.openxmlformats.org/officeDocument/2006/relationships/hyperlink" Target="Case%20studies\FSC18015_326282_20180518_12_case.pptx" TargetMode="External"/><Relationship Id="rId158" Type="http://schemas.openxmlformats.org/officeDocument/2006/relationships/hyperlink" Target="Case%20studies\FSC18091_980000614_20181207_12_case.pptx" TargetMode="External"/><Relationship Id="rId20" Type="http://schemas.openxmlformats.org/officeDocument/2006/relationships/hyperlink" Target="Case%20studies\FSC18090_980120051_20190222_12_case.pptx" TargetMode="External"/><Relationship Id="rId41" Type="http://schemas.openxmlformats.org/officeDocument/2006/relationships/hyperlink" Target="Case%20studies\FSC18030_980088840_20180615_12_case.pptx" TargetMode="External"/><Relationship Id="rId62" Type="http://schemas.openxmlformats.org/officeDocument/2006/relationships/hyperlink" Target="Case%20studies\FSC18098_980114984_20190111_12_case.pptx" TargetMode="External"/><Relationship Id="rId83" Type="http://schemas.openxmlformats.org/officeDocument/2006/relationships/hyperlink" Target="Case%20studies\FSC18084_567934_20181019_12_case.pptx" TargetMode="External"/><Relationship Id="rId88" Type="http://schemas.openxmlformats.org/officeDocument/2006/relationships/hyperlink" Target="Case%20studies\FSC18095_990694_20181123_12_case.pptx" TargetMode="External"/><Relationship Id="rId111" Type="http://schemas.openxmlformats.org/officeDocument/2006/relationships/hyperlink" Target="Case%20studies\FSC18041_687988_20180615_12_case.pptx" TargetMode="External"/><Relationship Id="rId132" Type="http://schemas.openxmlformats.org/officeDocument/2006/relationships/hyperlink" Target="Case%20studies\FSC19001_980160795_20190329_12_case.pptx" TargetMode="External"/><Relationship Id="rId153" Type="http://schemas.openxmlformats.org/officeDocument/2006/relationships/hyperlink" Target="Case%20studies\FSC18120_980126238_20190111_12_case.pptx" TargetMode="External"/><Relationship Id="rId15" Type="http://schemas.openxmlformats.org/officeDocument/2006/relationships/hyperlink" Target="Case%20studies\FSC18082_980109044_20181012_12_case.pptx" TargetMode="External"/><Relationship Id="rId36" Type="http://schemas.openxmlformats.org/officeDocument/2006/relationships/hyperlink" Target="Case%20studies\FSC18123_555508_20190215_12_case.pptx" TargetMode="External"/><Relationship Id="rId57" Type="http://schemas.openxmlformats.org/officeDocument/2006/relationships/hyperlink" Target="Case%20studies\FSC18121_491913_20190111_12_case.pptx" TargetMode="External"/><Relationship Id="rId106" Type="http://schemas.openxmlformats.org/officeDocument/2006/relationships/hyperlink" Target="Case%20studies\FSC18043_567934_20180601_12_case.pptx" TargetMode="External"/><Relationship Id="rId127" Type="http://schemas.openxmlformats.org/officeDocument/2006/relationships/hyperlink" Target="Case%20studies\FSC18011_980026672_20180330_12_case.pptx" TargetMode="External"/><Relationship Id="rId10" Type="http://schemas.openxmlformats.org/officeDocument/2006/relationships/hyperlink" Target="Case%20studies\FSC18018_705387_20180525_12_case.pptx" TargetMode="External"/><Relationship Id="rId31" Type="http://schemas.openxmlformats.org/officeDocument/2006/relationships/hyperlink" Target="Case%20studies\FSC18121_724211_20190111_12_case.pptx" TargetMode="External"/><Relationship Id="rId52" Type="http://schemas.openxmlformats.org/officeDocument/2006/relationships/hyperlink" Target="Case%20studies\FSC18103_980074723_20181102_12_case.pptx" TargetMode="External"/><Relationship Id="rId73" Type="http://schemas.openxmlformats.org/officeDocument/2006/relationships/hyperlink" Target="Case%20studies\FSC19012_980139499_20190322_12_case.pptx" TargetMode="External"/><Relationship Id="rId78" Type="http://schemas.openxmlformats.org/officeDocument/2006/relationships/hyperlink" Target="Case%20studies\FSC18096_980070881_20181207_12_case.pptx" TargetMode="External"/><Relationship Id="rId94" Type="http://schemas.openxmlformats.org/officeDocument/2006/relationships/hyperlink" Target="Case%20studies\FSC18028_839559_20180504_12_case.pptx" TargetMode="External"/><Relationship Id="rId99" Type="http://schemas.openxmlformats.org/officeDocument/2006/relationships/hyperlink" Target="Case%20studies\FSC18023_850799_20180406_12_case.pptx" TargetMode="External"/><Relationship Id="rId101" Type="http://schemas.openxmlformats.org/officeDocument/2006/relationships/hyperlink" Target="Case%20studies\FSC18023_850799_20180420_12_case.pptx" TargetMode="External"/><Relationship Id="rId122" Type="http://schemas.openxmlformats.org/officeDocument/2006/relationships/hyperlink" Target="Case%20studies\FSC18129_980125399_20190405_12_case.pptx" TargetMode="External"/><Relationship Id="rId143" Type="http://schemas.openxmlformats.org/officeDocument/2006/relationships/hyperlink" Target="Case%20studies\FSC18113_567934_20181207_12_case.pptx" TargetMode="External"/><Relationship Id="rId148" Type="http://schemas.openxmlformats.org/officeDocument/2006/relationships/hyperlink" Target="Case%20studies\FSC18063_980009095_20190308_12_case.pptx" TargetMode="External"/><Relationship Id="rId164" Type="http://schemas.openxmlformats.org/officeDocument/2006/relationships/hyperlink" Target="Case%20studies\FSC18036_846162_20180608_12_case.pptx" TargetMode="External"/><Relationship Id="rId169" Type="http://schemas.openxmlformats.org/officeDocument/2006/relationships/hyperlink" Target="Case%20studies\FSC18012_980096234_20180406_12_case.pptx" TargetMode="External"/><Relationship Id="rId4" Type="http://schemas.openxmlformats.org/officeDocument/2006/relationships/hyperlink" Target="Case%20studies\FSC18025_729234_20180427_12_case.pptx" TargetMode="External"/><Relationship Id="rId9" Type="http://schemas.openxmlformats.org/officeDocument/2006/relationships/hyperlink" Target="Case%20studies\FSC18081_728178_20181012_12_case.pptx" TargetMode="External"/><Relationship Id="rId26" Type="http://schemas.openxmlformats.org/officeDocument/2006/relationships/hyperlink" Target="Case%20studies\FSC18122_555501_20190125_12_case.pptx" TargetMode="External"/><Relationship Id="rId47" Type="http://schemas.openxmlformats.org/officeDocument/2006/relationships/hyperlink" Target="Case%20studies\FSC18121_980003636_20190111_12_case.pptx" TargetMode="External"/><Relationship Id="rId68" Type="http://schemas.openxmlformats.org/officeDocument/2006/relationships/hyperlink" Target="Case%20studies\FSC18131_371722_20190315_12_case.pptx" TargetMode="External"/><Relationship Id="rId89" Type="http://schemas.openxmlformats.org/officeDocument/2006/relationships/hyperlink" Target="Case%20studies\FSC18063_713998_20190308_12_case.pptx" TargetMode="External"/><Relationship Id="rId112" Type="http://schemas.openxmlformats.org/officeDocument/2006/relationships/hyperlink" Target="Case%20studies\FSC18099_683073_20181123_12_case.pptx" TargetMode="External"/><Relationship Id="rId133" Type="http://schemas.openxmlformats.org/officeDocument/2006/relationships/hyperlink" Target="Case%20studies\FSC18015_326282_20180330_12_case.pptx" TargetMode="External"/><Relationship Id="rId154" Type="http://schemas.openxmlformats.org/officeDocument/2006/relationships/hyperlink" Target="Case%20studies\FSC19001_11260_20190329_12_case.pptx" TargetMode="External"/><Relationship Id="rId16" Type="http://schemas.openxmlformats.org/officeDocument/2006/relationships/hyperlink" Target="Case%20studies\FSC18126_980109044_20190125_12_case.pptx" TargetMode="External"/><Relationship Id="rId37" Type="http://schemas.openxmlformats.org/officeDocument/2006/relationships/hyperlink" Target="Case%20studies\FSC18055_980074723_20190104_12_case.pptx" TargetMode="External"/><Relationship Id="rId58" Type="http://schemas.openxmlformats.org/officeDocument/2006/relationships/hyperlink" Target="Case%20studies\FSC18115_980059393_20190201_12_case.pptx" TargetMode="External"/><Relationship Id="rId79" Type="http://schemas.openxmlformats.org/officeDocument/2006/relationships/hyperlink" Target="Case%20studies\FSC18112_980011652_20181214_12_case.pptx" TargetMode="External"/><Relationship Id="rId102" Type="http://schemas.openxmlformats.org/officeDocument/2006/relationships/hyperlink" Target="Case%20studies\FSC18114_980058839_20190111_12_case.pptx" TargetMode="External"/><Relationship Id="rId123" Type="http://schemas.openxmlformats.org/officeDocument/2006/relationships/hyperlink" Target="Case%20studies\FSC18107_92801_20181207_12_case.pptx" TargetMode="External"/><Relationship Id="rId144" Type="http://schemas.openxmlformats.org/officeDocument/2006/relationships/hyperlink" Target="Case%20studies\FSC18062_326282_20181005_12_case.pptx" TargetMode="External"/><Relationship Id="rId90" Type="http://schemas.openxmlformats.org/officeDocument/2006/relationships/hyperlink" Target="Case%20studies\FSC18015_567934_20180518_12_case.pptx" TargetMode="External"/><Relationship Id="rId165" Type="http://schemas.openxmlformats.org/officeDocument/2006/relationships/hyperlink" Target="Case%20studies\FSC18041_151141_20180615_12_case.pptx" TargetMode="External"/><Relationship Id="rId27" Type="http://schemas.openxmlformats.org/officeDocument/2006/relationships/hyperlink" Target="Case%20studies\FSC19004_980141899_20190308_12_case.pptx" TargetMode="External"/><Relationship Id="rId48" Type="http://schemas.openxmlformats.org/officeDocument/2006/relationships/hyperlink" Target="Case%20studies\FSC18055_980074723_20190308_12_case.pptx" TargetMode="External"/><Relationship Id="rId69" Type="http://schemas.openxmlformats.org/officeDocument/2006/relationships/hyperlink" Target="Case%20studies\FSC19014_491913_20190405_12_case.pptx" TargetMode="External"/><Relationship Id="rId113" Type="http://schemas.openxmlformats.org/officeDocument/2006/relationships/hyperlink" Target="Case%20studies\FSC18114_980116254_20190111_12_case.pptx" TargetMode="External"/><Relationship Id="rId134" Type="http://schemas.openxmlformats.org/officeDocument/2006/relationships/hyperlink" Target="Case%20studies\FSC18063_980009095_20190315_12_case.pptx" TargetMode="External"/><Relationship Id="rId80" Type="http://schemas.openxmlformats.org/officeDocument/2006/relationships/hyperlink" Target="Case%20studies\FSC18101_724211_20181115_12_case.pptx" TargetMode="External"/><Relationship Id="rId155" Type="http://schemas.openxmlformats.org/officeDocument/2006/relationships/hyperlink" Target="Case%20studies\FSC18109_980140787_20190104_12_case.pptx" TargetMode="External"/><Relationship Id="rId17" Type="http://schemas.openxmlformats.org/officeDocument/2006/relationships/hyperlink" Target="Case%20studies\FSC18016_608210_20180330_12_case.pptx" TargetMode="External"/><Relationship Id="rId38" Type="http://schemas.openxmlformats.org/officeDocument/2006/relationships/hyperlink" Target="Case%20studies\FSC18067_555508_20181102_12_case.pptx" TargetMode="External"/><Relationship Id="rId59" Type="http://schemas.openxmlformats.org/officeDocument/2006/relationships/hyperlink" Target="Case%20studies\FSC18093_944440_20181005_12_case.pptx" TargetMode="External"/><Relationship Id="rId103" Type="http://schemas.openxmlformats.org/officeDocument/2006/relationships/hyperlink" Target="Case%20studies\FSC18025_980002024_20180427_12_case.pptx" TargetMode="External"/><Relationship Id="rId124" Type="http://schemas.openxmlformats.org/officeDocument/2006/relationships/hyperlink" Target="Case%20studies\FSC18131_788103_20190315_12_case.pptx" TargetMode="External"/><Relationship Id="rId70" Type="http://schemas.openxmlformats.org/officeDocument/2006/relationships/hyperlink" Target="Case%20studies\FSC18098_980114984_20181207_12_case.pptx" TargetMode="External"/><Relationship Id="rId91" Type="http://schemas.openxmlformats.org/officeDocument/2006/relationships/hyperlink" Target="Case%20studies\FSC18054_434023_20181130_12_case.pptx" TargetMode="External"/><Relationship Id="rId145" Type="http://schemas.openxmlformats.org/officeDocument/2006/relationships/hyperlink" Target="Case%20studies\FSC18038_980116456_20180601_12_case.pptx" TargetMode="External"/><Relationship Id="rId166" Type="http://schemas.openxmlformats.org/officeDocument/2006/relationships/hyperlink" Target="Case%20studies\FSC18099_980115834_20181123_12_case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9A42-CA3B-447D-A0E2-EEBFEF0E5A1A}">
  <sheetPr codeName="Sheet4"/>
  <dimension ref="A1:T29"/>
  <sheetViews>
    <sheetView workbookViewId="0">
      <selection activeCell="M35" sqref="M35"/>
    </sheetView>
  </sheetViews>
  <sheetFormatPr defaultRowHeight="15" x14ac:dyDescent="0.25"/>
  <cols>
    <col min="1" max="3" width="15.7109375" style="31" customWidth="1"/>
    <col min="4" max="4" width="33.7109375" style="31" customWidth="1"/>
    <col min="5" max="5" width="3.85546875" style="31" customWidth="1"/>
    <col min="6" max="6" width="26" style="31" bestFit="1" customWidth="1"/>
    <col min="7" max="9" width="11.85546875" style="43" customWidth="1"/>
    <col min="10" max="14" width="11.85546875" style="42" customWidth="1"/>
    <col min="15" max="15" width="9.28515625" style="31" bestFit="1" customWidth="1"/>
    <col min="16" max="16" width="9.5703125" style="31" bestFit="1" customWidth="1"/>
    <col min="17" max="17" width="12.5703125" style="31" bestFit="1" customWidth="1"/>
    <col min="18" max="18" width="11.5703125" style="31" bestFit="1" customWidth="1"/>
    <col min="19" max="19" width="9.5703125" style="31" bestFit="1" customWidth="1"/>
    <col min="20" max="20" width="9.28515625" style="31" bestFit="1" customWidth="1"/>
    <col min="21" max="16384" width="9.140625" style="31"/>
  </cols>
  <sheetData>
    <row r="1" spans="1:15" x14ac:dyDescent="0.25">
      <c r="A1" s="89" t="s">
        <v>650</v>
      </c>
      <c r="B1" s="89"/>
      <c r="C1" s="32">
        <f>+MAX(ListingTable[Start date])</f>
        <v>43595</v>
      </c>
    </row>
    <row r="2" spans="1:15" x14ac:dyDescent="0.25">
      <c r="A2" s="76" t="s">
        <v>653</v>
      </c>
    </row>
    <row r="3" spans="1:15" x14ac:dyDescent="0.25">
      <c r="E3" s="88" t="s">
        <v>684</v>
      </c>
      <c r="F3" s="88"/>
      <c r="G3" s="88"/>
      <c r="H3" s="88"/>
      <c r="I3" s="88"/>
      <c r="J3" s="88"/>
      <c r="K3" s="88"/>
      <c r="L3" s="88"/>
      <c r="M3" s="88"/>
      <c r="N3" s="88"/>
    </row>
    <row r="4" spans="1:15" x14ac:dyDescent="0.25">
      <c r="A4" s="39" t="s">
        <v>654</v>
      </c>
      <c r="B4" s="31" t="s">
        <v>656</v>
      </c>
      <c r="E4" s="45"/>
      <c r="F4" s="45"/>
      <c r="G4" s="46"/>
      <c r="H4" s="46"/>
      <c r="I4" s="46"/>
      <c r="J4" s="47" t="s">
        <v>683</v>
      </c>
      <c r="K4" s="47"/>
      <c r="L4" s="47"/>
      <c r="M4" s="47"/>
      <c r="N4" s="47"/>
    </row>
    <row r="5" spans="1:15" x14ac:dyDescent="0.25">
      <c r="A5" s="39" t="s">
        <v>655</v>
      </c>
      <c r="B5" s="31" t="s">
        <v>657</v>
      </c>
      <c r="E5" s="45"/>
      <c r="F5" s="45"/>
      <c r="G5" s="46"/>
      <c r="H5" s="46"/>
      <c r="I5" s="46"/>
      <c r="J5" s="47"/>
      <c r="K5" s="47"/>
      <c r="L5" s="47"/>
      <c r="M5" s="47"/>
      <c r="N5" s="47"/>
    </row>
    <row r="6" spans="1:15" x14ac:dyDescent="0.25">
      <c r="A6" s="38"/>
      <c r="E6" s="87" t="s">
        <v>7</v>
      </c>
      <c r="F6" s="87"/>
      <c r="G6" s="90" t="s">
        <v>660</v>
      </c>
      <c r="H6" s="90" t="s">
        <v>661</v>
      </c>
      <c r="I6" s="90" t="s">
        <v>662</v>
      </c>
      <c r="J6" s="90" t="s">
        <v>663</v>
      </c>
      <c r="K6" s="48" t="s">
        <v>664</v>
      </c>
      <c r="L6" s="48" t="s">
        <v>665</v>
      </c>
      <c r="M6" s="48" t="s">
        <v>666</v>
      </c>
      <c r="N6" s="48" t="s">
        <v>667</v>
      </c>
    </row>
    <row r="7" spans="1:15" x14ac:dyDescent="0.25">
      <c r="E7" s="49"/>
      <c r="F7" s="50" t="s">
        <v>668</v>
      </c>
      <c r="G7" s="91"/>
      <c r="H7" s="91"/>
      <c r="I7" s="91"/>
      <c r="J7" s="91"/>
      <c r="K7" s="51" t="s">
        <v>669</v>
      </c>
      <c r="L7" s="51" t="s">
        <v>669</v>
      </c>
      <c r="M7" s="51" t="s">
        <v>669</v>
      </c>
      <c r="N7" s="51" t="s">
        <v>669</v>
      </c>
    </row>
    <row r="8" spans="1:15" ht="15" customHeight="1" x14ac:dyDescent="0.25">
      <c r="A8" s="33" t="s">
        <v>658</v>
      </c>
      <c r="B8" s="41" t="s">
        <v>652</v>
      </c>
      <c r="C8" s="41" t="s">
        <v>651</v>
      </c>
      <c r="D8" s="41"/>
      <c r="E8" s="86" t="s">
        <v>670</v>
      </c>
      <c r="F8" s="86"/>
      <c r="G8" s="52">
        <v>0.10970219531992731</v>
      </c>
      <c r="H8" s="52">
        <v>2.8300067835558263E-2</v>
      </c>
      <c r="I8" s="52">
        <v>0.1340242133248313</v>
      </c>
      <c r="J8" s="53">
        <v>0.53290676057108899</v>
      </c>
      <c r="K8" s="53">
        <v>0.63101310940956812</v>
      </c>
      <c r="L8" s="53">
        <v>0.17964343268533017</v>
      </c>
      <c r="M8" s="53">
        <v>0.18934345790510176</v>
      </c>
      <c r="N8" s="53">
        <v>0.81065654209489835</v>
      </c>
    </row>
    <row r="9" spans="1:15" x14ac:dyDescent="0.25">
      <c r="A9" s="38" t="s">
        <v>3</v>
      </c>
      <c r="B9" s="40">
        <f ca="1">+MIN(INDIRECT(+_xlfn.CONCAT("ListingTable[",$A9,"]")))</f>
        <v>43189</v>
      </c>
      <c r="C9" s="40">
        <f t="shared" ref="C9:C21" ca="1" si="0">+MAX(INDIRECT(+_xlfn.CONCAT("ListingTable[",$A9,"]")))</f>
        <v>43595</v>
      </c>
      <c r="D9" s="36"/>
      <c r="E9" s="54" t="s">
        <v>671</v>
      </c>
      <c r="F9" s="54"/>
      <c r="G9" s="55">
        <v>0.13501807463895091</v>
      </c>
      <c r="H9" s="55">
        <v>2.0481494492824038E-2</v>
      </c>
      <c r="I9" s="55">
        <v>0.12383035104979612</v>
      </c>
      <c r="J9" s="56">
        <v>0.59259107642770803</v>
      </c>
      <c r="K9" s="57">
        <v>0.74346074791696659</v>
      </c>
      <c r="L9" s="58">
        <v>5.76639888232598E-2</v>
      </c>
      <c r="M9" s="56">
        <v>0.19887526325977362</v>
      </c>
      <c r="N9" s="56">
        <v>0.80112473674022644</v>
      </c>
    </row>
    <row r="10" spans="1:15" x14ac:dyDescent="0.25">
      <c r="A10" s="31" t="s">
        <v>13</v>
      </c>
      <c r="B10" s="36">
        <f ca="1">+MIN(INDIRECT(+_xlfn.CONCAT("ListingTable[",$A10,"]")))</f>
        <v>147284</v>
      </c>
      <c r="C10" s="36">
        <f t="shared" ca="1" si="0"/>
        <v>11626268</v>
      </c>
      <c r="D10" s="36"/>
      <c r="E10" s="54" t="s">
        <v>672</v>
      </c>
      <c r="F10" s="54"/>
      <c r="G10" s="55">
        <v>0.13901967245187696</v>
      </c>
      <c r="H10" s="55">
        <v>3.5050546159802118E-2</v>
      </c>
      <c r="I10" s="55">
        <v>0.17965804144385225</v>
      </c>
      <c r="J10" s="56">
        <v>0.55900365325295653</v>
      </c>
      <c r="K10" s="56">
        <v>0.6066608116579687</v>
      </c>
      <c r="L10" s="56">
        <v>0.15425981952776649</v>
      </c>
      <c r="M10" s="56">
        <v>0.23907936881426486</v>
      </c>
      <c r="N10" s="56">
        <v>0.76092063118573516</v>
      </c>
    </row>
    <row r="11" spans="1:15" x14ac:dyDescent="0.25">
      <c r="A11" s="31" t="s">
        <v>14</v>
      </c>
      <c r="B11" s="36">
        <f t="shared" ref="B11:B21" ca="1" si="1">+MIN(INDIRECT(+_xlfn.CONCAT("ListingTable[",$A11,"]")))</f>
        <v>3484</v>
      </c>
      <c r="C11" s="36">
        <f t="shared" ca="1" si="0"/>
        <v>1417913</v>
      </c>
      <c r="D11" s="36"/>
      <c r="E11" s="54"/>
      <c r="F11" s="59" t="s">
        <v>673</v>
      </c>
      <c r="G11" s="60">
        <v>8.9692305103901984E-2</v>
      </c>
      <c r="H11" s="60">
        <v>2.456855273089471E-2</v>
      </c>
      <c r="I11" s="60">
        <v>0.21008917477601874</v>
      </c>
      <c r="J11" s="61">
        <v>0.54696291617397208</v>
      </c>
      <c r="K11" s="61">
        <v>0.68925736487321221</v>
      </c>
      <c r="L11" s="61">
        <v>7.1973475271952678E-2</v>
      </c>
      <c r="M11" s="61">
        <v>0.23876915985483507</v>
      </c>
      <c r="N11" s="61">
        <v>0.76123084014516484</v>
      </c>
    </row>
    <row r="12" spans="1:15" x14ac:dyDescent="0.25">
      <c r="A12" s="31" t="s">
        <v>15</v>
      </c>
      <c r="B12" s="37">
        <f t="shared" ca="1" si="1"/>
        <v>9433.9500000000007</v>
      </c>
      <c r="C12" s="37">
        <f t="shared" ca="1" si="0"/>
        <v>19738.994906621392</v>
      </c>
      <c r="D12" s="37"/>
      <c r="E12" s="54" t="s">
        <v>674</v>
      </c>
      <c r="F12" s="59"/>
      <c r="G12" s="55">
        <v>0.12192575023766698</v>
      </c>
      <c r="H12" s="55">
        <v>2.259816502754362E-2</v>
      </c>
      <c r="I12" s="62">
        <v>5.7466124198233604E-2</v>
      </c>
      <c r="J12" s="58">
        <v>0.4047657389985882</v>
      </c>
      <c r="K12" s="56">
        <v>0.60957214822216688</v>
      </c>
      <c r="L12" s="57">
        <v>0.24341532771758234</v>
      </c>
      <c r="M12" s="56">
        <v>0.14701252406025087</v>
      </c>
      <c r="N12" s="56">
        <v>0.85298747593974922</v>
      </c>
    </row>
    <row r="13" spans="1:15" x14ac:dyDescent="0.25">
      <c r="A13" s="31" t="s">
        <v>16</v>
      </c>
      <c r="B13" s="37">
        <f t="shared" ca="1" si="1"/>
        <v>158.19512195121951</v>
      </c>
      <c r="C13" s="37">
        <f t="shared" ca="1" si="0"/>
        <v>2407.3225806451615</v>
      </c>
      <c r="D13" s="37"/>
      <c r="E13" s="54" t="s">
        <v>675</v>
      </c>
      <c r="F13" s="59"/>
      <c r="G13" s="55">
        <v>0.10546390962720008</v>
      </c>
      <c r="H13" s="55">
        <v>4.8790116666090837E-2</v>
      </c>
      <c r="I13" s="55">
        <v>0.1723737253696502</v>
      </c>
      <c r="J13" s="56">
        <v>0.475331103863946</v>
      </c>
      <c r="K13" s="56">
        <v>0.50707244913981842</v>
      </c>
      <c r="L13" s="56">
        <v>0.18957568459978744</v>
      </c>
      <c r="M13" s="56">
        <v>0.30335186626039407</v>
      </c>
      <c r="N13" s="56">
        <v>0.69664813373960588</v>
      </c>
    </row>
    <row r="14" spans="1:15" x14ac:dyDescent="0.25">
      <c r="A14" s="31" t="s">
        <v>17</v>
      </c>
      <c r="B14" s="34">
        <f t="shared" ca="1" si="1"/>
        <v>1.3666418033097764E-2</v>
      </c>
      <c r="C14" s="34">
        <f t="shared" ca="1" si="0"/>
        <v>0.1705289829413722</v>
      </c>
      <c r="D14" s="34"/>
      <c r="E14" s="54"/>
      <c r="F14" s="59" t="s">
        <v>676</v>
      </c>
      <c r="G14" s="60">
        <v>8.9692305103901984E-2</v>
      </c>
      <c r="H14" s="63">
        <v>6.8534639130674993E-2</v>
      </c>
      <c r="I14" s="63">
        <v>0.24161134376524199</v>
      </c>
      <c r="J14" s="61">
        <v>0.40137245812760847</v>
      </c>
      <c r="K14" s="64">
        <v>0.35929688513033603</v>
      </c>
      <c r="L14" s="61">
        <v>0.1964623956136016</v>
      </c>
      <c r="M14" s="65">
        <v>0.44424071925606246</v>
      </c>
      <c r="N14" s="64">
        <v>0.55575928074393766</v>
      </c>
    </row>
    <row r="15" spans="1:15" x14ac:dyDescent="0.25">
      <c r="A15" s="31" t="s">
        <v>18</v>
      </c>
      <c r="B15" s="34">
        <f t="shared" ca="1" si="1"/>
        <v>4.305749200360863E-4</v>
      </c>
      <c r="C15" s="34">
        <f t="shared" ca="1" si="0"/>
        <v>0.13100000000000001</v>
      </c>
      <c r="D15" s="34"/>
      <c r="E15" s="54" t="s">
        <v>677</v>
      </c>
      <c r="F15" s="59"/>
      <c r="G15" s="55">
        <v>7.7111218179144791E-2</v>
      </c>
      <c r="H15" s="62">
        <v>1.5391205467406879E-2</v>
      </c>
      <c r="I15" s="55">
        <v>0.12013273879736423</v>
      </c>
      <c r="J15" s="56">
        <v>0.51864520692873306</v>
      </c>
      <c r="K15" s="56">
        <v>0.7126048203188895</v>
      </c>
      <c r="L15" s="56">
        <v>0.16434912783472763</v>
      </c>
      <c r="M15" s="58">
        <v>0.12304605184638288</v>
      </c>
      <c r="N15" s="57">
        <v>0.87695394815361716</v>
      </c>
      <c r="O15" s="38"/>
    </row>
    <row r="16" spans="1:15" x14ac:dyDescent="0.25">
      <c r="A16" s="31" t="s">
        <v>19</v>
      </c>
      <c r="B16" s="34">
        <f t="shared" ca="1" si="1"/>
        <v>2.5185051453330925E-2</v>
      </c>
      <c r="C16" s="34">
        <f t="shared" ca="1" si="0"/>
        <v>0.38820826952526799</v>
      </c>
      <c r="D16" s="34"/>
      <c r="E16" s="54"/>
      <c r="F16" s="59" t="s">
        <v>678</v>
      </c>
      <c r="G16" s="66">
        <v>6.6409793451553609E-2</v>
      </c>
      <c r="H16" s="60">
        <v>1.7580685785754089E-2</v>
      </c>
      <c r="I16" s="60">
        <v>0.15884439694744049</v>
      </c>
      <c r="J16" s="65">
        <v>0.65985642219877638</v>
      </c>
      <c r="K16" s="65">
        <v>0.74240214788562797</v>
      </c>
      <c r="L16" s="61">
        <v>0.11316037785842444</v>
      </c>
      <c r="M16" s="61">
        <v>0.14443747425594752</v>
      </c>
      <c r="N16" s="61">
        <v>0.85556252574405245</v>
      </c>
    </row>
    <row r="17" spans="1:20" x14ac:dyDescent="0.25">
      <c r="A17" s="31" t="s">
        <v>20</v>
      </c>
      <c r="B17" s="35">
        <f t="shared" ca="1" si="1"/>
        <v>0.14976839938239836</v>
      </c>
      <c r="C17" s="35">
        <f t="shared" ca="1" si="0"/>
        <v>0.91482405575152714</v>
      </c>
      <c r="D17" s="35"/>
      <c r="E17" s="54" t="s">
        <v>679</v>
      </c>
      <c r="F17" s="54"/>
      <c r="G17" s="55">
        <v>0.12877096017315307</v>
      </c>
      <c r="H17" s="55">
        <v>2.5500259505646019E-2</v>
      </c>
      <c r="I17" s="55">
        <v>0.12415097062676597</v>
      </c>
      <c r="J17" s="56">
        <v>0.5662627547387461</v>
      </c>
      <c r="K17" s="56">
        <v>0.64995256857737238</v>
      </c>
      <c r="L17" s="56">
        <v>0.18463186474310336</v>
      </c>
      <c r="M17" s="56">
        <v>0.16541556667952431</v>
      </c>
      <c r="N17" s="56">
        <v>0.83458443332047572</v>
      </c>
    </row>
    <row r="18" spans="1:20" x14ac:dyDescent="0.25">
      <c r="A18" s="31" t="s">
        <v>21</v>
      </c>
      <c r="B18" s="35">
        <f t="shared" ca="1" si="1"/>
        <v>0.24489795918367346</v>
      </c>
      <c r="C18" s="35">
        <f t="shared" ca="1" si="0"/>
        <v>0.88595271210013904</v>
      </c>
      <c r="D18" s="35"/>
      <c r="E18" s="54" t="s">
        <v>680</v>
      </c>
      <c r="F18" s="54"/>
      <c r="G18" s="67">
        <v>0.14671236709588328</v>
      </c>
      <c r="H18" s="55">
        <v>1.7698108594708044E-2</v>
      </c>
      <c r="I18" s="55">
        <v>0.11377942116157103</v>
      </c>
      <c r="J18" s="56">
        <v>0.62797542852795385</v>
      </c>
      <c r="K18" s="56">
        <v>0.68127742640198119</v>
      </c>
      <c r="L18" s="56">
        <v>0.17301151664499417</v>
      </c>
      <c r="M18" s="56">
        <v>0.14571105695302472</v>
      </c>
      <c r="N18" s="56">
        <v>0.85428894304697534</v>
      </c>
    </row>
    <row r="19" spans="1:20" x14ac:dyDescent="0.25">
      <c r="A19" s="31" t="s">
        <v>22</v>
      </c>
      <c r="B19" s="35">
        <f t="shared" ca="1" si="1"/>
        <v>0</v>
      </c>
      <c r="C19" s="35">
        <f t="shared" ca="1" si="0"/>
        <v>0.75248239754468316</v>
      </c>
      <c r="D19" s="35"/>
      <c r="E19" s="54" t="s">
        <v>681</v>
      </c>
      <c r="F19" s="54"/>
      <c r="G19" s="55">
        <v>0.10844284799636086</v>
      </c>
      <c r="H19" s="55">
        <v>2.9406172739420748E-2</v>
      </c>
      <c r="I19" s="55">
        <v>0.11035638427369159</v>
      </c>
      <c r="J19" s="56">
        <v>0.58521642485519065</v>
      </c>
      <c r="K19" s="56">
        <v>0.61536483932775132</v>
      </c>
      <c r="L19" s="56">
        <v>0.15004860411581983</v>
      </c>
      <c r="M19" s="56">
        <v>0.23458655655642885</v>
      </c>
      <c r="N19" s="56">
        <v>0.7654134434435711</v>
      </c>
    </row>
    <row r="20" spans="1:20" x14ac:dyDescent="0.25">
      <c r="A20" s="31" t="s">
        <v>23</v>
      </c>
      <c r="B20" s="35">
        <f t="shared" ca="1" si="1"/>
        <v>2.1664560389962088E-3</v>
      </c>
      <c r="C20" s="35">
        <f t="shared" ca="1" si="0"/>
        <v>0.52067381316998473</v>
      </c>
      <c r="D20" s="35"/>
      <c r="E20" s="68"/>
      <c r="F20" s="68"/>
      <c r="G20" s="46"/>
      <c r="H20" s="46"/>
      <c r="I20" s="46"/>
      <c r="J20" s="47"/>
      <c r="K20" s="47"/>
      <c r="L20" s="47"/>
      <c r="M20" s="47"/>
      <c r="N20" s="47"/>
    </row>
    <row r="21" spans="1:20" x14ac:dyDescent="0.25">
      <c r="A21" s="31" t="s">
        <v>24</v>
      </c>
      <c r="B21" s="35">
        <f t="shared" ca="1" si="1"/>
        <v>-0.46240374384623467</v>
      </c>
      <c r="C21" s="35">
        <f t="shared" ca="1" si="0"/>
        <v>9.4443199021232278</v>
      </c>
      <c r="D21" s="35"/>
      <c r="E21" s="85" t="s">
        <v>682</v>
      </c>
      <c r="F21" s="85"/>
      <c r="G21" s="69"/>
      <c r="H21" s="69">
        <v>1.3797201965014183E-2</v>
      </c>
      <c r="I21" s="69">
        <v>0.12417387784559146</v>
      </c>
      <c r="J21" s="70">
        <v>0.4021734774910336</v>
      </c>
      <c r="K21" s="70">
        <v>0.54223918610385036</v>
      </c>
      <c r="L21" s="70">
        <v>0.17779121601828551</v>
      </c>
      <c r="M21" s="70">
        <v>0.27996959787786407</v>
      </c>
      <c r="N21" s="70">
        <v>0.72003040212213587</v>
      </c>
    </row>
    <row r="22" spans="1:20" x14ac:dyDescent="0.25">
      <c r="B22"/>
      <c r="C22" s="35"/>
      <c r="D22" s="35"/>
    </row>
    <row r="23" spans="1:20" x14ac:dyDescent="0.25">
      <c r="F23" s="71"/>
      <c r="G23" s="72" t="s">
        <v>17</v>
      </c>
      <c r="H23" s="72" t="s">
        <v>18</v>
      </c>
      <c r="I23" s="72" t="s">
        <v>19</v>
      </c>
      <c r="J23" s="73" t="s">
        <v>20</v>
      </c>
      <c r="K23" s="73" t="s">
        <v>21</v>
      </c>
      <c r="L23" s="73" t="s">
        <v>22</v>
      </c>
      <c r="M23" s="73" t="s">
        <v>23</v>
      </c>
      <c r="P23" s="43"/>
      <c r="Q23" s="43"/>
      <c r="R23" s="43"/>
      <c r="S23" s="42"/>
      <c r="T23" s="42"/>
    </row>
    <row r="24" spans="1:20" x14ac:dyDescent="0.25">
      <c r="F24" s="77" t="s">
        <v>652</v>
      </c>
      <c r="G24" s="74">
        <f t="shared" ref="G24:M24" ca="1" si="2">+MIN(INDIRECT(+_xlfn.CONCAT("ListingTable[",G$23,"]")))</f>
        <v>1.3666418033097764E-2</v>
      </c>
      <c r="H24" s="74">
        <f t="shared" ca="1" si="2"/>
        <v>4.305749200360863E-4</v>
      </c>
      <c r="I24" s="74">
        <f t="shared" ca="1" si="2"/>
        <v>2.5185051453330925E-2</v>
      </c>
      <c r="J24" s="75">
        <f t="shared" ca="1" si="2"/>
        <v>0.14976839938239836</v>
      </c>
      <c r="K24" s="75">
        <f t="shared" ca="1" si="2"/>
        <v>0.24489795918367346</v>
      </c>
      <c r="L24" s="75">
        <f t="shared" ca="1" si="2"/>
        <v>0</v>
      </c>
      <c r="M24" s="75">
        <f t="shared" ca="1" si="2"/>
        <v>2.1664560389962088E-3</v>
      </c>
      <c r="O24" s="42"/>
      <c r="P24" s="44"/>
      <c r="Q24" s="44"/>
      <c r="R24" s="44"/>
      <c r="S24" s="44"/>
      <c r="T24" s="44"/>
    </row>
    <row r="25" spans="1:20" x14ac:dyDescent="0.25">
      <c r="F25" s="77" t="s">
        <v>651</v>
      </c>
      <c r="G25" s="74">
        <f t="shared" ref="G25:M25" ca="1" si="3">+MAX(INDIRECT(+_xlfn.CONCAT("ListingTable[",G$23,"]")))</f>
        <v>0.1705289829413722</v>
      </c>
      <c r="H25" s="74">
        <f t="shared" ca="1" si="3"/>
        <v>0.13100000000000001</v>
      </c>
      <c r="I25" s="74">
        <f t="shared" ca="1" si="3"/>
        <v>0.38820826952526799</v>
      </c>
      <c r="J25" s="75">
        <f t="shared" ca="1" si="3"/>
        <v>0.91482405575152714</v>
      </c>
      <c r="K25" s="75">
        <f t="shared" ca="1" si="3"/>
        <v>0.88595271210013904</v>
      </c>
      <c r="L25" s="75">
        <f t="shared" ca="1" si="3"/>
        <v>0.75248239754468316</v>
      </c>
      <c r="M25" s="75">
        <f t="shared" ca="1" si="3"/>
        <v>0.52067381316998473</v>
      </c>
      <c r="O25" s="42"/>
      <c r="P25" s="44"/>
      <c r="Q25" s="44"/>
      <c r="R25" s="44"/>
      <c r="S25" s="44"/>
      <c r="T25" s="44"/>
    </row>
    <row r="26" spans="1:20" x14ac:dyDescent="0.25">
      <c r="F26" s="77"/>
      <c r="G26" s="74"/>
    </row>
    <row r="27" spans="1:20" x14ac:dyDescent="0.25">
      <c r="F27" s="77" t="s">
        <v>688</v>
      </c>
      <c r="G27" s="74">
        <f ca="1">+_xlfn.QUARTILE.INC(INDIRECT(+_xlfn.CONCAT("ListingTable[",G$23,"]")),1)</f>
        <v>4.2999999999999997E-2</v>
      </c>
      <c r="H27" s="74">
        <f t="shared" ref="H27:M27" ca="1" si="4">+_xlfn.QUARTILE.INC(INDIRECT(+_xlfn.CONCAT("ListingTable[",H$23,"]")),1)</f>
        <v>1.2104228885358538E-2</v>
      </c>
      <c r="I27" s="74">
        <f t="shared" ca="1" si="4"/>
        <v>7.4586946005284122E-2</v>
      </c>
      <c r="J27" s="74">
        <f t="shared" ca="1" si="4"/>
        <v>0.3580714285714286</v>
      </c>
      <c r="K27" s="74">
        <f t="shared" ca="1" si="4"/>
        <v>0.47650819410123063</v>
      </c>
      <c r="L27" s="74">
        <f t="shared" ca="1" si="4"/>
        <v>0.10700786579423638</v>
      </c>
      <c r="M27" s="74">
        <f t="shared" ca="1" si="4"/>
        <v>0.14612359945324441</v>
      </c>
    </row>
    <row r="28" spans="1:20" x14ac:dyDescent="0.25">
      <c r="F28" s="77" t="s">
        <v>689</v>
      </c>
      <c r="G28" s="74">
        <f ca="1">+_xlfn.QUARTILE.INC(INDIRECT(+_xlfn.CONCAT("ListingTable[",G$23,"]")),2)</f>
        <v>8.4520900307770069E-2</v>
      </c>
      <c r="H28" s="74">
        <f t="shared" ref="H28:M28" ca="1" si="5">+_xlfn.QUARTILE.INC(INDIRECT(+_xlfn.CONCAT("ListingTable[",H$23,"]")),2)</f>
        <v>1.9680377863254973E-2</v>
      </c>
      <c r="I28" s="74">
        <f t="shared" ca="1" si="5"/>
        <v>0.11389236545682102</v>
      </c>
      <c r="J28" s="74">
        <f t="shared" ca="1" si="5"/>
        <v>0.50388936905790838</v>
      </c>
      <c r="K28" s="74">
        <f t="shared" ca="1" si="5"/>
        <v>0.57786672003201922</v>
      </c>
      <c r="L28" s="74">
        <f t="shared" ca="1" si="5"/>
        <v>0.15078585461689586</v>
      </c>
      <c r="M28" s="74">
        <f t="shared" ca="1" si="5"/>
        <v>0.24372759856630824</v>
      </c>
    </row>
    <row r="29" spans="1:20" x14ac:dyDescent="0.25">
      <c r="F29" s="77" t="s">
        <v>687</v>
      </c>
      <c r="G29" s="74">
        <f ca="1">+_xlfn.QUARTILE.INC(INDIRECT(+_xlfn.CONCAT("ListingTable[",G$23,"]")),3)</f>
        <v>0.11929155871008615</v>
      </c>
      <c r="H29" s="74">
        <f t="shared" ref="H29:M29" ca="1" si="6">+_xlfn.QUARTILE.INC(INDIRECT(+_xlfn.CONCAT("ListingTable[",H$23,"]")),3)</f>
        <v>3.9314579405941977E-2</v>
      </c>
      <c r="I29" s="74">
        <f t="shared" ca="1" si="6"/>
        <v>0.17288025594149908</v>
      </c>
      <c r="J29" s="74">
        <f t="shared" ca="1" si="6"/>
        <v>0.63142097923768203</v>
      </c>
      <c r="K29" s="74">
        <f t="shared" ca="1" si="6"/>
        <v>0.69083563254679636</v>
      </c>
      <c r="L29" s="74">
        <f t="shared" ca="1" si="6"/>
        <v>0.23830244106519208</v>
      </c>
      <c r="M29" s="74">
        <f t="shared" ca="1" si="6"/>
        <v>0.34189192330078277</v>
      </c>
    </row>
  </sheetData>
  <mergeCells count="9">
    <mergeCell ref="E21:F21"/>
    <mergeCell ref="E8:F8"/>
    <mergeCell ref="E6:F6"/>
    <mergeCell ref="E3:N3"/>
    <mergeCell ref="A1:B1"/>
    <mergeCell ref="G6:G7"/>
    <mergeCell ref="H6:H7"/>
    <mergeCell ref="I6:I7"/>
    <mergeCell ref="J6:J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9E47-8C77-4057-B397-82DB852DAE47}">
  <sheetPr codeName="Sheet1">
    <tabColor theme="3"/>
  </sheetPr>
  <dimension ref="A1:AH172"/>
  <sheetViews>
    <sheetView tabSelected="1" topLeftCell="P1" workbookViewId="0">
      <selection activeCell="V3" sqref="V3"/>
    </sheetView>
  </sheetViews>
  <sheetFormatPr defaultRowHeight="15" x14ac:dyDescent="0.25"/>
  <cols>
    <col min="1" max="1" width="35.140625" customWidth="1"/>
    <col min="2" max="3" width="41.5703125" customWidth="1"/>
    <col min="4" max="4" width="36.5703125" style="80" customWidth="1"/>
    <col min="5" max="5" width="40.5703125" style="80" customWidth="1"/>
    <col min="6" max="6" width="8.5703125" style="9" customWidth="1"/>
    <col min="7" max="7" width="11.85546875" style="10" bestFit="1" customWidth="1"/>
    <col min="8" max="8" width="11" style="11" bestFit="1" customWidth="1"/>
    <col min="9" max="9" width="11.7109375" customWidth="1"/>
    <col min="10" max="10" width="23.7109375" bestFit="1" customWidth="1"/>
    <col min="11" max="11" width="30" bestFit="1" customWidth="1"/>
    <col min="12" max="12" width="24.5703125" bestFit="1" customWidth="1"/>
    <col min="13" max="14" width="5.28515625" customWidth="1"/>
    <col min="15" max="15" width="13.140625" bestFit="1" customWidth="1"/>
    <col min="16" max="16" width="12.5703125" bestFit="1" customWidth="1"/>
    <col min="17" max="17" width="14.28515625" bestFit="1" customWidth="1"/>
    <col min="18" max="18" width="8.140625" bestFit="1" customWidth="1"/>
    <col min="19" max="19" width="13.42578125" style="28" bestFit="1" customWidth="1"/>
    <col min="20" max="20" width="12.7109375" bestFit="1" customWidth="1"/>
    <col min="21" max="21" width="13.28515625" style="12" customWidth="1"/>
    <col min="22" max="22" width="12.5703125" style="12" customWidth="1"/>
    <col min="23" max="23" width="14.140625" style="12" customWidth="1"/>
    <col min="24" max="24" width="13.140625" customWidth="1"/>
    <col min="25" max="25" width="9.42578125" customWidth="1"/>
    <col min="26" max="26" width="12.85546875" customWidth="1"/>
    <col min="28" max="28" width="9.140625" style="9" customWidth="1"/>
    <col min="29" max="29" width="9.140625" style="9"/>
    <col min="30" max="30" width="21.140625" customWidth="1"/>
    <col min="31" max="31" width="24.7109375" customWidth="1"/>
    <col min="32" max="32" width="9.42578125" bestFit="1" customWidth="1"/>
    <col min="33" max="33" width="17.28515625" customWidth="1"/>
  </cols>
  <sheetData>
    <row r="1" spans="1:34" s="22" customFormat="1" x14ac:dyDescent="0.25">
      <c r="A1" s="13" t="s">
        <v>0</v>
      </c>
      <c r="B1" s="13" t="s">
        <v>595</v>
      </c>
      <c r="C1" s="13" t="s">
        <v>720</v>
      </c>
      <c r="D1" s="23" t="s">
        <v>596</v>
      </c>
      <c r="E1" s="23" t="s">
        <v>597</v>
      </c>
      <c r="F1" s="14" t="s">
        <v>2</v>
      </c>
      <c r="G1" s="15" t="s">
        <v>3</v>
      </c>
      <c r="H1" s="16" t="s">
        <v>4</v>
      </c>
      <c r="I1" s="16" t="s">
        <v>5</v>
      </c>
      <c r="J1" s="16" t="s">
        <v>6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26" t="s">
        <v>15</v>
      </c>
      <c r="T1" s="17" t="s">
        <v>16</v>
      </c>
      <c r="U1" s="18" t="s">
        <v>17</v>
      </c>
      <c r="V1" s="18" t="s">
        <v>18</v>
      </c>
      <c r="W1" s="19" t="s">
        <v>19</v>
      </c>
      <c r="X1" s="17" t="s">
        <v>20</v>
      </c>
      <c r="Y1" s="17" t="s">
        <v>21</v>
      </c>
      <c r="Z1" s="17" t="s">
        <v>22</v>
      </c>
      <c r="AA1" s="17" t="s">
        <v>23</v>
      </c>
      <c r="AB1" s="25" t="s">
        <v>24</v>
      </c>
      <c r="AC1" s="25" t="s">
        <v>25</v>
      </c>
      <c r="AD1" s="20" t="s">
        <v>26</v>
      </c>
      <c r="AE1" s="20" t="s">
        <v>27</v>
      </c>
      <c r="AF1" s="21" t="s">
        <v>28</v>
      </c>
      <c r="AG1" s="22" t="s">
        <v>29</v>
      </c>
      <c r="AH1" s="22" t="s">
        <v>30</v>
      </c>
    </row>
    <row r="2" spans="1:34" ht="60" x14ac:dyDescent="0.25">
      <c r="A2" t="s">
        <v>317</v>
      </c>
      <c r="B2" t="str">
        <f>SUBSTITUTE(ListingTable[[#This Row],[Program]],".zip","_case.pptx")</f>
        <v>FSC19006_247824_20190308_12_case.pptx</v>
      </c>
      <c r="C2" s="82" t="s">
        <v>721</v>
      </c>
      <c r="D2" s="79" t="s">
        <v>601</v>
      </c>
      <c r="E2" s="79" t="s">
        <v>699</v>
      </c>
      <c r="F2" s="2" t="s">
        <v>40</v>
      </c>
      <c r="G2" s="3">
        <v>43532</v>
      </c>
      <c r="H2" s="4">
        <v>43538</v>
      </c>
      <c r="I2" s="30" t="s">
        <v>318</v>
      </c>
      <c r="J2" s="4" t="s">
        <v>319</v>
      </c>
      <c r="K2" s="5" t="s">
        <v>313</v>
      </c>
      <c r="L2" s="5" t="s">
        <v>320</v>
      </c>
      <c r="M2" s="5">
        <v>8</v>
      </c>
      <c r="N2" s="5">
        <v>22</v>
      </c>
      <c r="O2" s="5">
        <v>86</v>
      </c>
      <c r="P2" s="5">
        <v>437</v>
      </c>
      <c r="Q2" s="5">
        <v>1031197</v>
      </c>
      <c r="R2" s="5">
        <v>56668</v>
      </c>
      <c r="S2" s="27">
        <v>11990.662790697674</v>
      </c>
      <c r="T2" s="27">
        <v>658.93023255813955</v>
      </c>
      <c r="U2" s="7">
        <v>5.4953612161400781E-2</v>
      </c>
      <c r="V2" s="7">
        <v>2.3458408923535647E-2</v>
      </c>
      <c r="W2" s="8">
        <v>0.38820826952526799</v>
      </c>
      <c r="X2" s="24">
        <v>0.37366003062787134</v>
      </c>
      <c r="Y2" s="24">
        <v>0.37212863705972438</v>
      </c>
      <c r="Z2" s="24">
        <v>0.10719754977029096</v>
      </c>
      <c r="AA2" s="24">
        <v>0.52067381316998473</v>
      </c>
      <c r="AB2" s="24">
        <v>1.1817970024866384E-2</v>
      </c>
      <c r="AC2" s="24">
        <v>-2.3216343975752422E-3</v>
      </c>
      <c r="AD2" s="6" t="s">
        <v>57</v>
      </c>
      <c r="AE2" s="6" t="s">
        <v>41</v>
      </c>
      <c r="AF2" t="s">
        <v>315</v>
      </c>
      <c r="AG2" t="s">
        <v>316</v>
      </c>
      <c r="AH2" t="s">
        <v>48</v>
      </c>
    </row>
    <row r="3" spans="1:34" x14ac:dyDescent="0.25">
      <c r="A3" s="1" t="s">
        <v>142</v>
      </c>
      <c r="B3" s="1" t="str">
        <f>SUBSTITUTE(ListingTable[[#This Row],[Program]],".zip","_case.pptx")</f>
        <v>FSC18026_729234_20180427_12_case.pptx</v>
      </c>
      <c r="C3" s="83" t="s">
        <v>722</v>
      </c>
      <c r="D3" s="78"/>
      <c r="E3" s="78"/>
      <c r="F3" s="2" t="s">
        <v>40</v>
      </c>
      <c r="G3" s="3">
        <v>43217</v>
      </c>
      <c r="H3" s="4">
        <v>43223</v>
      </c>
      <c r="I3" s="30" t="s">
        <v>143</v>
      </c>
      <c r="J3" s="4" t="s">
        <v>144</v>
      </c>
      <c r="K3" s="5" t="s">
        <v>145</v>
      </c>
      <c r="L3" s="5" t="s">
        <v>146</v>
      </c>
      <c r="M3" s="5">
        <v>42</v>
      </c>
      <c r="N3" s="5">
        <v>60</v>
      </c>
      <c r="O3" s="5">
        <v>14</v>
      </c>
      <c r="P3" s="5">
        <v>574</v>
      </c>
      <c r="Q3" s="5">
        <v>147284</v>
      </c>
      <c r="R3" s="5">
        <v>3484</v>
      </c>
      <c r="S3" s="27">
        <v>10520.285714285714</v>
      </c>
      <c r="T3" s="27">
        <v>248.85714285714286</v>
      </c>
      <c r="U3" s="7">
        <v>2.365497949539665E-2</v>
      </c>
      <c r="V3" s="7">
        <v>7.4978454467107158E-2</v>
      </c>
      <c r="W3" s="8">
        <v>0.36015325670498083</v>
      </c>
      <c r="X3" s="24">
        <v>0.69731800766283525</v>
      </c>
      <c r="Y3" s="24">
        <v>0.50957854406130265</v>
      </c>
      <c r="Z3" s="24">
        <v>2.2988505747126436E-2</v>
      </c>
      <c r="AA3" s="24">
        <v>0.46743295019157088</v>
      </c>
      <c r="AB3" s="24">
        <v>0.14464722803540644</v>
      </c>
      <c r="AC3" s="24">
        <v>0.14199463089271772</v>
      </c>
      <c r="AD3" s="6" t="s">
        <v>147</v>
      </c>
      <c r="AE3" s="6" t="s">
        <v>37</v>
      </c>
      <c r="AF3" t="s">
        <v>148</v>
      </c>
      <c r="AG3" t="s">
        <v>149</v>
      </c>
      <c r="AH3" t="s">
        <v>42</v>
      </c>
    </row>
    <row r="4" spans="1:34" x14ac:dyDescent="0.25">
      <c r="A4" s="1" t="s">
        <v>505</v>
      </c>
      <c r="B4" s="1" t="str">
        <f>SUBSTITUTE(ListingTable[[#This Row],[Program]],".zip","_case.pptx")</f>
        <v>FSC18124_980135711_20190322_12_case.pptx</v>
      </c>
      <c r="C4" s="83" t="s">
        <v>723</v>
      </c>
      <c r="D4" s="78"/>
      <c r="E4" s="78"/>
      <c r="F4" s="2" t="s">
        <v>40</v>
      </c>
      <c r="G4" s="3">
        <v>43546</v>
      </c>
      <c r="H4" s="4">
        <v>43552</v>
      </c>
      <c r="I4" s="30" t="s">
        <v>506</v>
      </c>
      <c r="J4" s="4" t="s">
        <v>507</v>
      </c>
      <c r="K4" s="5" t="s">
        <v>145</v>
      </c>
      <c r="L4" s="5" t="s">
        <v>508</v>
      </c>
      <c r="M4" s="5">
        <v>42</v>
      </c>
      <c r="N4" s="5">
        <v>59</v>
      </c>
      <c r="O4" s="5">
        <v>195</v>
      </c>
      <c r="P4" s="5">
        <v>394</v>
      </c>
      <c r="Q4" s="5">
        <v>2277251</v>
      </c>
      <c r="R4" s="5">
        <v>212815</v>
      </c>
      <c r="S4" s="27">
        <v>11678.210256410257</v>
      </c>
      <c r="T4" s="27">
        <v>1091.3589743589744</v>
      </c>
      <c r="U4" s="7">
        <v>9.3452588230282921E-2</v>
      </c>
      <c r="V4" s="7">
        <v>1.4629163822769948E-2</v>
      </c>
      <c r="W4" s="8">
        <v>0.32463295269168024</v>
      </c>
      <c r="X4" s="24">
        <v>0.31092985318107669</v>
      </c>
      <c r="Y4" s="24">
        <v>0.59738988580750407</v>
      </c>
      <c r="Z4" s="24">
        <v>2.1533442088091354E-2</v>
      </c>
      <c r="AA4" s="24">
        <v>0.38107667210440455</v>
      </c>
      <c r="AB4" s="24">
        <v>-1.4452625670391519E-2</v>
      </c>
      <c r="AC4" s="24">
        <v>-1.5510196742395147E-3</v>
      </c>
      <c r="AD4" s="6" t="s">
        <v>147</v>
      </c>
      <c r="AE4" s="6" t="s">
        <v>71</v>
      </c>
      <c r="AF4" t="s">
        <v>501</v>
      </c>
      <c r="AG4" t="s">
        <v>502</v>
      </c>
      <c r="AH4" t="s">
        <v>42</v>
      </c>
    </row>
    <row r="5" spans="1:34" ht="30" x14ac:dyDescent="0.25">
      <c r="A5" s="1" t="s">
        <v>288</v>
      </c>
      <c r="B5" s="1" t="str">
        <f>SUBSTITUTE(ListingTable[[#This Row],[Program]],".zip","_case.pptx")</f>
        <v>FSC18025_729234_20180427_12_case.pptx</v>
      </c>
      <c r="C5" s="83" t="s">
        <v>724</v>
      </c>
      <c r="D5" s="78" t="s">
        <v>716</v>
      </c>
      <c r="E5" s="78" t="s">
        <v>717</v>
      </c>
      <c r="F5" s="2" t="s">
        <v>40</v>
      </c>
      <c r="G5" s="3">
        <v>43217</v>
      </c>
      <c r="H5" s="4">
        <v>43223</v>
      </c>
      <c r="I5" s="30" t="s">
        <v>143</v>
      </c>
      <c r="J5" s="4" t="s">
        <v>144</v>
      </c>
      <c r="K5" s="5" t="s">
        <v>145</v>
      </c>
      <c r="L5" s="5" t="s">
        <v>146</v>
      </c>
      <c r="M5" s="5">
        <v>42</v>
      </c>
      <c r="N5" s="5">
        <v>60</v>
      </c>
      <c r="O5" s="5">
        <v>575</v>
      </c>
      <c r="P5" s="5">
        <v>14</v>
      </c>
      <c r="Q5" s="5">
        <v>6829578</v>
      </c>
      <c r="R5" s="5">
        <v>886182</v>
      </c>
      <c r="S5" s="27">
        <v>11877.526956521739</v>
      </c>
      <c r="T5" s="27">
        <v>1541.1860869565216</v>
      </c>
      <c r="U5" s="7">
        <v>0.12975647982935404</v>
      </c>
      <c r="V5" s="7">
        <v>2.294819602668443E-2</v>
      </c>
      <c r="W5" s="8">
        <v>0.31223460058949892</v>
      </c>
      <c r="X5" s="24">
        <v>0.30079432482389967</v>
      </c>
      <c r="Y5" s="24">
        <v>0.48388869460958184</v>
      </c>
      <c r="Z5" s="24">
        <v>2.2830593995104162E-2</v>
      </c>
      <c r="AA5" s="24">
        <v>0.49328071139531399</v>
      </c>
      <c r="AB5" s="24">
        <v>0.14199463089271772</v>
      </c>
      <c r="AC5" s="24">
        <v>0.14464722803540644</v>
      </c>
      <c r="AD5" s="6" t="s">
        <v>147</v>
      </c>
      <c r="AE5" s="6" t="s">
        <v>71</v>
      </c>
      <c r="AF5" t="s">
        <v>279</v>
      </c>
      <c r="AG5" t="s">
        <v>280</v>
      </c>
      <c r="AH5" t="s">
        <v>42</v>
      </c>
    </row>
    <row r="6" spans="1:34" ht="30" x14ac:dyDescent="0.25">
      <c r="A6" s="1" t="s">
        <v>186</v>
      </c>
      <c r="B6" s="1" t="str">
        <f>SUBSTITUTE(ListingTable[[#This Row],[Program]],".zip","_case.pptx")</f>
        <v>FSC18075_57091_20181005_12_case.pptx</v>
      </c>
      <c r="C6" s="83" t="s">
        <v>725</v>
      </c>
      <c r="D6" s="78" t="s">
        <v>704</v>
      </c>
      <c r="E6" s="78"/>
      <c r="F6" s="2" t="s">
        <v>40</v>
      </c>
      <c r="G6" s="3">
        <v>43378</v>
      </c>
      <c r="H6" s="4">
        <v>43384</v>
      </c>
      <c r="I6" s="30" t="s">
        <v>187</v>
      </c>
      <c r="J6" s="4" t="s">
        <v>188</v>
      </c>
      <c r="K6" s="5" t="s">
        <v>34</v>
      </c>
      <c r="L6" s="5" t="s">
        <v>189</v>
      </c>
      <c r="M6" s="5">
        <v>54</v>
      </c>
      <c r="N6" s="5">
        <v>1</v>
      </c>
      <c r="O6" s="5">
        <v>42</v>
      </c>
      <c r="P6" s="5">
        <v>542</v>
      </c>
      <c r="Q6" s="5">
        <v>429767</v>
      </c>
      <c r="R6" s="5">
        <v>10713</v>
      </c>
      <c r="S6" s="27">
        <v>10232.547619047618</v>
      </c>
      <c r="T6" s="27">
        <v>255.07142857142858</v>
      </c>
      <c r="U6" s="7">
        <v>2.4927460693817814E-2</v>
      </c>
      <c r="V6" s="7">
        <v>2.6638003551733808E-2</v>
      </c>
      <c r="W6" s="8">
        <v>0.28421052631578947</v>
      </c>
      <c r="X6" s="24">
        <v>0.70526315789473681</v>
      </c>
      <c r="Y6" s="24">
        <v>0.47719298245614034</v>
      </c>
      <c r="Z6" s="24">
        <v>0.11929824561403508</v>
      </c>
      <c r="AA6" s="24">
        <v>0.40350877192982454</v>
      </c>
      <c r="AB6" s="24">
        <v>0.36005895534463012</v>
      </c>
      <c r="AC6" s="24">
        <v>-9.2696542092331802E-2</v>
      </c>
      <c r="AD6" s="6" t="s">
        <v>36</v>
      </c>
      <c r="AE6" s="6" t="s">
        <v>37</v>
      </c>
      <c r="AF6" t="s">
        <v>180</v>
      </c>
      <c r="AG6" t="s">
        <v>181</v>
      </c>
      <c r="AH6" t="s">
        <v>34</v>
      </c>
    </row>
    <row r="7" spans="1:34" ht="30" x14ac:dyDescent="0.25">
      <c r="A7" s="1" t="s">
        <v>623</v>
      </c>
      <c r="B7" s="29" t="str">
        <f>SUBSTITUTE(ListingTable[[#This Row],[Program]],".zip","_case.pptx")</f>
        <v>FSC19022_793064_20190510_12_case.pptx</v>
      </c>
      <c r="C7" s="84" t="s">
        <v>726</v>
      </c>
      <c r="D7" s="78" t="s">
        <v>697</v>
      </c>
      <c r="E7" s="78" t="s">
        <v>696</v>
      </c>
      <c r="F7" s="2" t="s">
        <v>40</v>
      </c>
      <c r="G7" s="3">
        <v>43595</v>
      </c>
      <c r="H7" s="4">
        <v>43601</v>
      </c>
      <c r="I7" s="30">
        <v>793064</v>
      </c>
      <c r="J7" s="4" t="s">
        <v>562</v>
      </c>
      <c r="K7" s="5" t="s">
        <v>93</v>
      </c>
      <c r="L7" s="5" t="s">
        <v>543</v>
      </c>
      <c r="M7" s="5">
        <v>13</v>
      </c>
      <c r="N7" s="5">
        <v>70</v>
      </c>
      <c r="O7" s="5">
        <v>100</v>
      </c>
      <c r="P7" s="5">
        <v>22</v>
      </c>
      <c r="Q7" s="5">
        <v>1379563</v>
      </c>
      <c r="R7" s="5">
        <v>46578</v>
      </c>
      <c r="S7" s="27">
        <v>13795.63</v>
      </c>
      <c r="T7" s="27">
        <v>465.78</v>
      </c>
      <c r="U7" s="7">
        <v>3.4000000000000002E-2</v>
      </c>
      <c r="V7" s="7">
        <v>0.127</v>
      </c>
      <c r="W7" s="8">
        <v>0.27500000000000002</v>
      </c>
      <c r="X7" s="24">
        <v>0.63700000000000001</v>
      </c>
      <c r="Y7" s="24">
        <v>0.36</v>
      </c>
      <c r="Z7" s="24">
        <v>0.15</v>
      </c>
      <c r="AA7" s="24">
        <v>0.49</v>
      </c>
      <c r="AB7" s="24">
        <v>0.21</v>
      </c>
      <c r="AC7" s="24">
        <v>-0.05</v>
      </c>
      <c r="AD7" s="6" t="s">
        <v>36</v>
      </c>
      <c r="AE7" s="6" t="s">
        <v>37</v>
      </c>
      <c r="AF7" t="s">
        <v>649</v>
      </c>
      <c r="AG7" t="str">
        <f>+_xlfn.CONCAT(ListingTable[[#This Row],[Program2]],ListingTable[[#This Row],[Start date]])</f>
        <v>FSC1902243595</v>
      </c>
      <c r="AH7" t="s">
        <v>48</v>
      </c>
    </row>
    <row r="8" spans="1:34" x14ac:dyDescent="0.25">
      <c r="A8" t="s">
        <v>310</v>
      </c>
      <c r="B8" t="str">
        <f>SUBSTITUTE(ListingTable[[#This Row],[Program]],".zip","_case.pptx")</f>
        <v>FSC19006_151618_20190308_12_case.pptx</v>
      </c>
      <c r="C8" s="82" t="s">
        <v>727</v>
      </c>
      <c r="D8" s="79"/>
      <c r="E8" s="79"/>
      <c r="F8" s="2" t="s">
        <v>40</v>
      </c>
      <c r="G8" s="3">
        <v>43532</v>
      </c>
      <c r="H8" s="4">
        <v>43538</v>
      </c>
      <c r="I8" s="30" t="s">
        <v>311</v>
      </c>
      <c r="J8" s="4" t="s">
        <v>312</v>
      </c>
      <c r="K8" s="5" t="s">
        <v>313</v>
      </c>
      <c r="L8" s="5" t="s">
        <v>314</v>
      </c>
      <c r="M8" s="5">
        <v>8</v>
      </c>
      <c r="N8" s="5">
        <v>15</v>
      </c>
      <c r="O8" s="5">
        <v>86</v>
      </c>
      <c r="P8" s="5">
        <v>60</v>
      </c>
      <c r="Q8" s="5">
        <v>1031197</v>
      </c>
      <c r="R8" s="5">
        <v>56668</v>
      </c>
      <c r="S8" s="27">
        <v>11990.662790697674</v>
      </c>
      <c r="T8" s="27">
        <v>658.93023255813955</v>
      </c>
      <c r="U8" s="7">
        <v>5.4953612161400781E-2</v>
      </c>
      <c r="V8" s="7">
        <v>3.2816625653368778E-2</v>
      </c>
      <c r="W8" s="8">
        <v>0.26382047071702242</v>
      </c>
      <c r="X8" s="24">
        <v>0.31855500821018062</v>
      </c>
      <c r="Y8" s="24">
        <v>0.42090859332238645</v>
      </c>
      <c r="Z8" s="24">
        <v>0.19211822660098521</v>
      </c>
      <c r="AA8" s="24">
        <v>0.38697318007662834</v>
      </c>
      <c r="AB8" s="24">
        <v>-0.18429623250882751</v>
      </c>
      <c r="AC8" s="24">
        <v>-0.5614447364903995</v>
      </c>
      <c r="AD8" s="6" t="s">
        <v>36</v>
      </c>
      <c r="AE8" s="6" t="s">
        <v>41</v>
      </c>
      <c r="AF8" t="s">
        <v>315</v>
      </c>
      <c r="AG8" t="s">
        <v>316</v>
      </c>
      <c r="AH8" t="s">
        <v>48</v>
      </c>
    </row>
    <row r="9" spans="1:34" x14ac:dyDescent="0.25">
      <c r="A9" s="1" t="s">
        <v>294</v>
      </c>
      <c r="B9" s="1" t="str">
        <f>SUBSTITUTE(ListingTable[[#This Row],[Program]],".zip","_case.pptx")</f>
        <v>FSC18090_980120051_20181221_12_case.pptx</v>
      </c>
      <c r="C9" s="83" t="s">
        <v>728</v>
      </c>
      <c r="D9" s="78"/>
      <c r="E9" s="78"/>
      <c r="F9" s="2" t="s">
        <v>40</v>
      </c>
      <c r="G9" s="3">
        <v>43455</v>
      </c>
      <c r="H9" s="4">
        <v>43468</v>
      </c>
      <c r="I9" s="30" t="s">
        <v>295</v>
      </c>
      <c r="J9" s="4" t="s">
        <v>296</v>
      </c>
      <c r="K9" s="5" t="s">
        <v>93</v>
      </c>
      <c r="L9" s="5" t="s">
        <v>297</v>
      </c>
      <c r="M9" s="5">
        <v>13</v>
      </c>
      <c r="N9" s="5">
        <v>1</v>
      </c>
      <c r="O9" s="5">
        <v>589</v>
      </c>
      <c r="P9" s="5">
        <v>0</v>
      </c>
      <c r="Q9" s="5">
        <v>11253607</v>
      </c>
      <c r="R9" s="5">
        <v>1417913</v>
      </c>
      <c r="S9" s="27">
        <v>19106.293718166384</v>
      </c>
      <c r="T9" s="27">
        <v>2407.3225806451615</v>
      </c>
      <c r="U9" s="7">
        <v>0.12599631389295896</v>
      </c>
      <c r="V9" s="7">
        <v>7.2662093793231144E-2</v>
      </c>
      <c r="W9" s="8">
        <v>0.25902331021806335</v>
      </c>
      <c r="X9" s="24">
        <v>0.34834781518923885</v>
      </c>
      <c r="Y9" s="24">
        <v>0.47476815105689696</v>
      </c>
      <c r="Z9" s="24">
        <v>0.18713969421004262</v>
      </c>
      <c r="AA9" s="24">
        <v>0.33809215473306042</v>
      </c>
      <c r="AB9" s="24">
        <v>0.20462320710988377</v>
      </c>
      <c r="AC9" s="24"/>
      <c r="AD9" s="6" t="s">
        <v>57</v>
      </c>
      <c r="AE9" s="6" t="s">
        <v>41</v>
      </c>
      <c r="AF9" t="s">
        <v>298</v>
      </c>
      <c r="AG9" t="s">
        <v>299</v>
      </c>
      <c r="AH9" t="s">
        <v>48</v>
      </c>
    </row>
    <row r="10" spans="1:34" x14ac:dyDescent="0.25">
      <c r="A10" s="1" t="s">
        <v>232</v>
      </c>
      <c r="B10" s="1" t="str">
        <f>SUBSTITUTE(ListingTable[[#This Row],[Program]],".zip","_case.pptx")</f>
        <v>FSC18081_728178_20181012_12_case.pptx</v>
      </c>
      <c r="C10" s="83" t="s">
        <v>729</v>
      </c>
      <c r="D10" s="78"/>
      <c r="E10" s="78"/>
      <c r="F10" s="2" t="s">
        <v>40</v>
      </c>
      <c r="G10" s="3">
        <v>43385</v>
      </c>
      <c r="H10" s="4">
        <v>43391</v>
      </c>
      <c r="I10" s="30" t="s">
        <v>233</v>
      </c>
      <c r="J10" s="4" t="s">
        <v>234</v>
      </c>
      <c r="K10" s="5" t="s">
        <v>34</v>
      </c>
      <c r="L10" s="5" t="s">
        <v>235</v>
      </c>
      <c r="M10" s="5">
        <v>54</v>
      </c>
      <c r="N10" s="5">
        <v>11</v>
      </c>
      <c r="O10" s="5">
        <v>350</v>
      </c>
      <c r="P10" s="5">
        <v>218</v>
      </c>
      <c r="Q10" s="5">
        <v>3951722</v>
      </c>
      <c r="R10" s="5">
        <v>562726</v>
      </c>
      <c r="S10" s="27">
        <v>11290.634285714286</v>
      </c>
      <c r="T10" s="27">
        <v>1607.7885714285715</v>
      </c>
      <c r="U10" s="7">
        <v>0.14240019920429625</v>
      </c>
      <c r="V10" s="7">
        <v>4.642018853571319E-3</v>
      </c>
      <c r="W10" s="8">
        <v>0.25846632931101599</v>
      </c>
      <c r="X10" s="24">
        <v>0.53133514986376018</v>
      </c>
      <c r="Y10" s="24">
        <v>0.50486570650058393</v>
      </c>
      <c r="Z10" s="24">
        <v>0.13623978201634879</v>
      </c>
      <c r="AA10" s="24">
        <v>0.35889451148306734</v>
      </c>
      <c r="AB10" s="24">
        <v>0.26596940475793168</v>
      </c>
      <c r="AC10" s="24">
        <v>0.16244228265567973</v>
      </c>
      <c r="AD10" s="6" t="s">
        <v>36</v>
      </c>
      <c r="AE10" s="6" t="s">
        <v>71</v>
      </c>
      <c r="AF10" t="s">
        <v>229</v>
      </c>
      <c r="AG10" t="s">
        <v>230</v>
      </c>
      <c r="AH10" t="s">
        <v>34</v>
      </c>
    </row>
    <row r="11" spans="1:34" x14ac:dyDescent="0.25">
      <c r="A11" s="1" t="s">
        <v>124</v>
      </c>
      <c r="B11" s="1" t="str">
        <f>SUBSTITUTE(ListingTable[[#This Row],[Program]],".zip","_case.pptx")</f>
        <v>FSC18018_705387_20180525_12_case.pptx</v>
      </c>
      <c r="C11" s="83" t="s">
        <v>730</v>
      </c>
      <c r="D11" s="78"/>
      <c r="E11" s="78"/>
      <c r="F11" s="2" t="s">
        <v>40</v>
      </c>
      <c r="G11" s="3">
        <v>43245</v>
      </c>
      <c r="H11" s="4">
        <v>43251</v>
      </c>
      <c r="I11" s="30" t="s">
        <v>125</v>
      </c>
      <c r="J11" s="4" t="s">
        <v>126</v>
      </c>
      <c r="K11" s="5" t="s">
        <v>84</v>
      </c>
      <c r="L11" s="5" t="s">
        <v>117</v>
      </c>
      <c r="M11" s="5">
        <v>1</v>
      </c>
      <c r="N11" s="5">
        <v>3</v>
      </c>
      <c r="O11" s="5">
        <v>589</v>
      </c>
      <c r="P11" s="5">
        <v>0</v>
      </c>
      <c r="Q11" s="5">
        <v>6485174</v>
      </c>
      <c r="R11" s="5">
        <v>1036512</v>
      </c>
      <c r="S11" s="27">
        <v>11010.482173174873</v>
      </c>
      <c r="T11" s="27">
        <v>1759.7826825127333</v>
      </c>
      <c r="U11" s="7">
        <v>0.15982793985172949</v>
      </c>
      <c r="V11" s="7">
        <v>8.7155333137081733E-3</v>
      </c>
      <c r="W11" s="8">
        <v>0.25782481423102904</v>
      </c>
      <c r="X11" s="24">
        <v>0.4137581625759964</v>
      </c>
      <c r="Y11" s="24">
        <v>0.45834271560459355</v>
      </c>
      <c r="Z11" s="24">
        <v>0.17642422877730241</v>
      </c>
      <c r="AA11" s="24">
        <v>0.36523305561810404</v>
      </c>
      <c r="AB11" s="24">
        <v>-0.14520849383078505</v>
      </c>
      <c r="AC11" s="24"/>
      <c r="AD11" s="6" t="s">
        <v>36</v>
      </c>
      <c r="AE11" s="6" t="s">
        <v>41</v>
      </c>
      <c r="AF11" t="s">
        <v>106</v>
      </c>
      <c r="AG11" t="s">
        <v>107</v>
      </c>
      <c r="AH11" t="s">
        <v>42</v>
      </c>
    </row>
    <row r="12" spans="1:34" x14ac:dyDescent="0.25">
      <c r="A12" s="1" t="s">
        <v>576</v>
      </c>
      <c r="B12" s="1" t="str">
        <f>SUBSTITUTE(ListingTable[[#This Row],[Program]],".zip","_case.pptx")</f>
        <v>FSC18123_793064_20190215_12_case.pptx</v>
      </c>
      <c r="C12" s="83" t="s">
        <v>731</v>
      </c>
      <c r="D12" s="78"/>
      <c r="E12" s="78"/>
      <c r="F12" s="2" t="s">
        <v>40</v>
      </c>
      <c r="G12" s="3">
        <v>43511</v>
      </c>
      <c r="H12" s="4">
        <v>43517</v>
      </c>
      <c r="I12" s="30" t="s">
        <v>561</v>
      </c>
      <c r="J12" s="4" t="s">
        <v>562</v>
      </c>
      <c r="K12" s="5" t="s">
        <v>93</v>
      </c>
      <c r="L12" s="5" t="s">
        <v>543</v>
      </c>
      <c r="M12" s="5">
        <v>13</v>
      </c>
      <c r="N12" s="5">
        <v>70</v>
      </c>
      <c r="O12" s="5">
        <v>100</v>
      </c>
      <c r="P12" s="5">
        <v>23</v>
      </c>
      <c r="Q12" s="5">
        <v>1243322</v>
      </c>
      <c r="R12" s="5">
        <v>111633</v>
      </c>
      <c r="S12" s="27">
        <v>12433.22</v>
      </c>
      <c r="T12" s="27">
        <v>1116.33</v>
      </c>
      <c r="U12" s="7">
        <v>8.9786073117020374E-2</v>
      </c>
      <c r="V12" s="7">
        <v>7.1616408733976566E-2</v>
      </c>
      <c r="W12" s="8">
        <v>0.25243091095189357</v>
      </c>
      <c r="X12" s="24">
        <v>0.40007676560900718</v>
      </c>
      <c r="Y12" s="24">
        <v>0.36949846468781988</v>
      </c>
      <c r="Z12" s="24">
        <v>0.1777123848515865</v>
      </c>
      <c r="AA12" s="24">
        <v>0.45278915046059365</v>
      </c>
      <c r="AB12" s="24">
        <v>0.16453010306971994</v>
      </c>
      <c r="AC12" s="24">
        <v>0.10386418250475932</v>
      </c>
      <c r="AD12" s="6" t="s">
        <v>57</v>
      </c>
      <c r="AE12" s="6" t="s">
        <v>41</v>
      </c>
      <c r="AF12" t="s">
        <v>577</v>
      </c>
      <c r="AG12" t="s">
        <v>578</v>
      </c>
      <c r="AH12" t="s">
        <v>48</v>
      </c>
    </row>
    <row r="13" spans="1:34" ht="60" x14ac:dyDescent="0.25">
      <c r="A13" s="1" t="s">
        <v>271</v>
      </c>
      <c r="B13" s="1" t="str">
        <f>SUBSTITUTE(ListingTable[[#This Row],[Program]],".zip","_case.pptx")</f>
        <v>FSC19004_980157831_20190308_12_case.pptx</v>
      </c>
      <c r="C13" s="83" t="s">
        <v>732</v>
      </c>
      <c r="D13" s="78" t="s">
        <v>692</v>
      </c>
      <c r="E13" s="78" t="s">
        <v>690</v>
      </c>
      <c r="F13" s="2" t="s">
        <v>40</v>
      </c>
      <c r="G13" s="3">
        <v>43532</v>
      </c>
      <c r="H13" s="4">
        <v>43538</v>
      </c>
      <c r="I13" s="30" t="s">
        <v>272</v>
      </c>
      <c r="J13" s="4" t="s">
        <v>273</v>
      </c>
      <c r="K13" s="5" t="s">
        <v>263</v>
      </c>
      <c r="L13" s="5" t="s">
        <v>264</v>
      </c>
      <c r="M13" s="5">
        <v>57</v>
      </c>
      <c r="N13" s="5">
        <v>73</v>
      </c>
      <c r="O13" s="5">
        <v>209</v>
      </c>
      <c r="P13" s="5">
        <v>379</v>
      </c>
      <c r="Q13" s="5">
        <v>2401461</v>
      </c>
      <c r="R13" s="5">
        <v>94880</v>
      </c>
      <c r="S13" s="27">
        <v>11490.244019138756</v>
      </c>
      <c r="T13" s="27">
        <v>453.97129186602871</v>
      </c>
      <c r="U13" s="7">
        <v>3.9509282057880596E-2</v>
      </c>
      <c r="V13" s="7">
        <v>3.0184768008799483E-2</v>
      </c>
      <c r="W13" s="8">
        <v>0.2512263489838823</v>
      </c>
      <c r="X13" s="24">
        <v>0.72249474421864046</v>
      </c>
      <c r="Y13" s="24">
        <v>0.47582340574632093</v>
      </c>
      <c r="Z13" s="24">
        <v>0.20918009810791871</v>
      </c>
      <c r="AA13" s="24">
        <v>0.31499649614576036</v>
      </c>
      <c r="AB13" s="24">
        <v>0.40394930786817795</v>
      </c>
      <c r="AC13" s="24">
        <v>-1.6537225981865709E-2</v>
      </c>
      <c r="AD13" s="6" t="s">
        <v>147</v>
      </c>
      <c r="AE13" s="6" t="s">
        <v>255</v>
      </c>
      <c r="AF13" t="s">
        <v>256</v>
      </c>
      <c r="AG13" t="s">
        <v>257</v>
      </c>
      <c r="AH13" t="s">
        <v>42</v>
      </c>
    </row>
    <row r="14" spans="1:34" x14ac:dyDescent="0.25">
      <c r="A14" s="1" t="s">
        <v>290</v>
      </c>
      <c r="B14" s="1" t="str">
        <f>SUBSTITUTE(ListingTable[[#This Row],[Program]],".zip","_case.pptx")</f>
        <v>FSC18082_728178_20181012_12_case.pptx</v>
      </c>
      <c r="C14" s="83" t="s">
        <v>733</v>
      </c>
      <c r="D14" s="78"/>
      <c r="E14" s="78"/>
      <c r="F14" s="2" t="s">
        <v>40</v>
      </c>
      <c r="G14" s="3">
        <v>43385</v>
      </c>
      <c r="H14" s="4">
        <v>43391</v>
      </c>
      <c r="I14" s="30" t="s">
        <v>233</v>
      </c>
      <c r="J14" s="4" t="s">
        <v>234</v>
      </c>
      <c r="K14" s="5" t="s">
        <v>34</v>
      </c>
      <c r="L14" s="5" t="s">
        <v>235</v>
      </c>
      <c r="M14" s="5">
        <v>54</v>
      </c>
      <c r="N14" s="5">
        <v>11</v>
      </c>
      <c r="O14" s="5">
        <v>50</v>
      </c>
      <c r="P14" s="5">
        <v>514</v>
      </c>
      <c r="Q14" s="5">
        <v>529047</v>
      </c>
      <c r="R14" s="5">
        <v>66740</v>
      </c>
      <c r="S14" s="27">
        <v>10580.94</v>
      </c>
      <c r="T14" s="27">
        <v>1334.8</v>
      </c>
      <c r="U14" s="7">
        <v>0.12615136273336774</v>
      </c>
      <c r="V14" s="7">
        <v>8.9600581192959081E-3</v>
      </c>
      <c r="W14" s="8">
        <v>0.24662162162162163</v>
      </c>
      <c r="X14" s="24">
        <v>0.57939189189189189</v>
      </c>
      <c r="Y14" s="24">
        <v>0.625</v>
      </c>
      <c r="Z14" s="24">
        <v>0.13851351351351351</v>
      </c>
      <c r="AA14" s="24">
        <v>0.23648648648648649</v>
      </c>
      <c r="AB14" s="24">
        <v>0.89857321807943735</v>
      </c>
      <c r="AC14" s="24">
        <v>0.17127722267494244</v>
      </c>
      <c r="AD14" s="6" t="s">
        <v>57</v>
      </c>
      <c r="AE14" s="6" t="s">
        <v>71</v>
      </c>
      <c r="AF14" t="s">
        <v>291</v>
      </c>
      <c r="AG14" t="s">
        <v>292</v>
      </c>
      <c r="AH14" t="s">
        <v>34</v>
      </c>
    </row>
    <row r="15" spans="1:34" x14ac:dyDescent="0.25">
      <c r="A15" s="1" t="s">
        <v>592</v>
      </c>
      <c r="B15" s="1" t="str">
        <f>SUBSTITUTE(ListingTable[[#This Row],[Program]],".zip","_case.pptx")</f>
        <v>FSC18067_793064_20181102_12_case.pptx</v>
      </c>
      <c r="C15" s="83" t="s">
        <v>734</v>
      </c>
      <c r="D15" s="78"/>
      <c r="E15" s="78"/>
      <c r="F15" s="2" t="s">
        <v>40</v>
      </c>
      <c r="G15" s="3">
        <v>43406</v>
      </c>
      <c r="H15" s="4">
        <v>43412</v>
      </c>
      <c r="I15" s="30" t="s">
        <v>561</v>
      </c>
      <c r="J15" s="4" t="s">
        <v>562</v>
      </c>
      <c r="K15" s="5" t="s">
        <v>93</v>
      </c>
      <c r="L15" s="5" t="s">
        <v>543</v>
      </c>
      <c r="M15" s="5">
        <v>13</v>
      </c>
      <c r="N15" s="5">
        <v>70</v>
      </c>
      <c r="O15" s="5">
        <v>100</v>
      </c>
      <c r="P15" s="5">
        <v>18</v>
      </c>
      <c r="Q15" s="5">
        <v>1302887</v>
      </c>
      <c r="R15" s="5">
        <v>114941</v>
      </c>
      <c r="S15" s="27">
        <v>13028.87</v>
      </c>
      <c r="T15" s="27">
        <v>1149.4100000000001</v>
      </c>
      <c r="U15" s="7">
        <v>8.8220237058163911E-2</v>
      </c>
      <c r="V15" s="7">
        <v>6.8418390437398502E-2</v>
      </c>
      <c r="W15" s="8">
        <v>0.24539559014267184</v>
      </c>
      <c r="X15" s="24">
        <v>0.43359273670557719</v>
      </c>
      <c r="Y15" s="24">
        <v>0.35175097276264594</v>
      </c>
      <c r="Z15" s="24">
        <v>0.19559014267185473</v>
      </c>
      <c r="AA15" s="24">
        <v>0.45265888456549935</v>
      </c>
      <c r="AB15" s="24">
        <v>0.34215566291160565</v>
      </c>
      <c r="AC15" s="24">
        <v>0.12420657851760662</v>
      </c>
      <c r="AD15" s="6" t="s">
        <v>57</v>
      </c>
      <c r="AE15" s="6" t="s">
        <v>71</v>
      </c>
      <c r="AF15" t="s">
        <v>563</v>
      </c>
      <c r="AG15" t="s">
        <v>593</v>
      </c>
      <c r="AH15" t="s">
        <v>48</v>
      </c>
    </row>
    <row r="16" spans="1:34" x14ac:dyDescent="0.25">
      <c r="A16" s="1" t="s">
        <v>293</v>
      </c>
      <c r="B16" s="1" t="str">
        <f>SUBSTITUTE(ListingTable[[#This Row],[Program]],".zip","_case.pptx")</f>
        <v>FSC18082_980109044_20181012_12_case.pptx</v>
      </c>
      <c r="C16" s="83" t="s">
        <v>735</v>
      </c>
      <c r="D16" s="78"/>
      <c r="E16" s="78"/>
      <c r="F16" s="2" t="s">
        <v>40</v>
      </c>
      <c r="G16" s="3">
        <v>43385</v>
      </c>
      <c r="H16" s="4">
        <v>43391</v>
      </c>
      <c r="I16" s="30" t="s">
        <v>227</v>
      </c>
      <c r="J16" s="4" t="s">
        <v>228</v>
      </c>
      <c r="K16" s="5" t="s">
        <v>55</v>
      </c>
      <c r="L16" s="5" t="s">
        <v>157</v>
      </c>
      <c r="M16" s="5">
        <v>41</v>
      </c>
      <c r="N16" s="5">
        <v>2</v>
      </c>
      <c r="O16" s="5">
        <v>50</v>
      </c>
      <c r="P16" s="5">
        <v>506</v>
      </c>
      <c r="Q16" s="5">
        <v>529047</v>
      </c>
      <c r="R16" s="5">
        <v>66740</v>
      </c>
      <c r="S16" s="27">
        <v>10580.94</v>
      </c>
      <c r="T16" s="27">
        <v>1334.8</v>
      </c>
      <c r="U16" s="7">
        <v>0.12615136273336774</v>
      </c>
      <c r="V16" s="7">
        <v>1.0367634817090705E-2</v>
      </c>
      <c r="W16" s="8">
        <v>0.24087591240875914</v>
      </c>
      <c r="X16" s="24">
        <v>0.42481751824817521</v>
      </c>
      <c r="Y16" s="24">
        <v>0.55182481751824819</v>
      </c>
      <c r="Z16" s="24">
        <v>9.0510948905109495E-2</v>
      </c>
      <c r="AA16" s="24">
        <v>0.35766423357664234</v>
      </c>
      <c r="AB16" s="24">
        <v>0.14648736004636054</v>
      </c>
      <c r="AC16" s="24">
        <v>0.2315819594280592</v>
      </c>
      <c r="AD16" s="6" t="s">
        <v>36</v>
      </c>
      <c r="AE16" s="6" t="s">
        <v>71</v>
      </c>
      <c r="AF16" t="s">
        <v>291</v>
      </c>
      <c r="AG16" t="s">
        <v>292</v>
      </c>
      <c r="AH16" t="s">
        <v>42</v>
      </c>
    </row>
    <row r="17" spans="1:34" x14ac:dyDescent="0.25">
      <c r="A17" s="1" t="s">
        <v>244</v>
      </c>
      <c r="B17" s="1" t="str">
        <f>SUBSTITUTE(ListingTable[[#This Row],[Program]],".zip","_case.pptx")</f>
        <v>FSC18126_980109044_20190125_12_case.pptx</v>
      </c>
      <c r="C17" s="83" t="s">
        <v>736</v>
      </c>
      <c r="D17" s="78"/>
      <c r="E17" s="78"/>
      <c r="F17" s="2" t="s">
        <v>40</v>
      </c>
      <c r="G17" s="3">
        <v>43490</v>
      </c>
      <c r="H17" s="4">
        <v>43496</v>
      </c>
      <c r="I17" s="30" t="s">
        <v>227</v>
      </c>
      <c r="J17" s="4" t="s">
        <v>228</v>
      </c>
      <c r="K17" s="5" t="s">
        <v>55</v>
      </c>
      <c r="L17" s="5" t="s">
        <v>157</v>
      </c>
      <c r="M17" s="5">
        <v>41</v>
      </c>
      <c r="N17" s="5">
        <v>2</v>
      </c>
      <c r="O17" s="5">
        <v>109</v>
      </c>
      <c r="P17" s="5">
        <v>457</v>
      </c>
      <c r="Q17" s="5">
        <v>1168316</v>
      </c>
      <c r="R17" s="5">
        <v>156093</v>
      </c>
      <c r="S17" s="27">
        <v>10718.495412844037</v>
      </c>
      <c r="T17" s="27">
        <v>1432.045871559633</v>
      </c>
      <c r="U17" s="7">
        <v>0.13360512053245868</v>
      </c>
      <c r="V17" s="7">
        <v>1.5568877748779039E-2</v>
      </c>
      <c r="W17" s="8">
        <v>0.23775933609958505</v>
      </c>
      <c r="X17" s="24">
        <v>0.48381742738589212</v>
      </c>
      <c r="Y17" s="24">
        <v>0.64190871369294611</v>
      </c>
      <c r="Z17" s="24">
        <v>7.2199170124481321E-2</v>
      </c>
      <c r="AA17" s="24">
        <v>0.2858921161825726</v>
      </c>
      <c r="AB17" s="24">
        <v>0.56603312305890718</v>
      </c>
      <c r="AC17" s="24">
        <v>0.13472474725458053</v>
      </c>
      <c r="AD17" s="6" t="s">
        <v>57</v>
      </c>
      <c r="AE17" s="6" t="s">
        <v>41</v>
      </c>
      <c r="AF17" t="s">
        <v>245</v>
      </c>
      <c r="AG17" t="s">
        <v>246</v>
      </c>
      <c r="AH17" t="s">
        <v>42</v>
      </c>
    </row>
    <row r="18" spans="1:34" x14ac:dyDescent="0.25">
      <c r="A18" s="1" t="s">
        <v>1</v>
      </c>
      <c r="B18" s="1" t="str">
        <f>SUBSTITUTE(ListingTable[[#This Row],[Program]],".zip","_case.pptx")</f>
        <v>FSC18016_608210_20180330_12_case.pptx</v>
      </c>
      <c r="C18" s="83" t="s">
        <v>737</v>
      </c>
      <c r="D18" s="78"/>
      <c r="E18" s="78"/>
      <c r="F18" s="2" t="s">
        <v>40</v>
      </c>
      <c r="G18" s="3">
        <v>43189</v>
      </c>
      <c r="H18" s="4">
        <v>43195</v>
      </c>
      <c r="I18" s="30" t="s">
        <v>53</v>
      </c>
      <c r="J18" s="4" t="s">
        <v>54</v>
      </c>
      <c r="K18" s="5" t="s">
        <v>55</v>
      </c>
      <c r="L18" s="5" t="s">
        <v>56</v>
      </c>
      <c r="M18" s="5">
        <v>41</v>
      </c>
      <c r="N18" s="5">
        <v>83</v>
      </c>
      <c r="O18" s="5">
        <v>258</v>
      </c>
      <c r="P18" s="5">
        <v>331</v>
      </c>
      <c r="Q18" s="5">
        <v>2810015</v>
      </c>
      <c r="R18" s="5">
        <v>479189</v>
      </c>
      <c r="S18" s="27">
        <v>10891.531007751939</v>
      </c>
      <c r="T18" s="27">
        <v>1857.3217054263566</v>
      </c>
      <c r="U18" s="7">
        <v>0.1705289829413722</v>
      </c>
      <c r="V18" s="7">
        <v>4.5422049629009198E-2</v>
      </c>
      <c r="W18" s="8">
        <v>0.23697322467986029</v>
      </c>
      <c r="X18" s="24">
        <v>0.44647264260768338</v>
      </c>
      <c r="Y18" s="24">
        <v>0.40144353899883584</v>
      </c>
      <c r="Z18" s="24">
        <v>0.23832363213038416</v>
      </c>
      <c r="AA18" s="24">
        <v>0.36023282887077995</v>
      </c>
      <c r="AB18" s="24">
        <v>-0.31518953155380985</v>
      </c>
      <c r="AC18" s="24">
        <v>-0.51468523814682099</v>
      </c>
      <c r="AD18" s="6" t="s">
        <v>57</v>
      </c>
      <c r="AE18" s="6" t="s">
        <v>41</v>
      </c>
      <c r="AF18" t="s">
        <v>58</v>
      </c>
      <c r="AG18" t="s">
        <v>59</v>
      </c>
      <c r="AH18" t="s">
        <v>48</v>
      </c>
    </row>
    <row r="19" spans="1:34" ht="30" x14ac:dyDescent="0.25">
      <c r="A19" s="1" t="s">
        <v>194</v>
      </c>
      <c r="B19" s="1" t="str">
        <f>SUBSTITUTE(ListingTable[[#This Row],[Program]],".zip","_case.pptx")</f>
        <v>FSC18075_57189_20181005_12_case.pptx</v>
      </c>
      <c r="C19" s="83" t="s">
        <v>738</v>
      </c>
      <c r="D19" s="78" t="s">
        <v>705</v>
      </c>
      <c r="E19" s="78"/>
      <c r="F19" s="2" t="s">
        <v>40</v>
      </c>
      <c r="G19" s="3">
        <v>43378</v>
      </c>
      <c r="H19" s="4">
        <v>43384</v>
      </c>
      <c r="I19" s="30" t="s">
        <v>195</v>
      </c>
      <c r="J19" s="4" t="s">
        <v>196</v>
      </c>
      <c r="K19" s="5" t="s">
        <v>34</v>
      </c>
      <c r="L19" s="5" t="s">
        <v>101</v>
      </c>
      <c r="M19" s="5">
        <v>54</v>
      </c>
      <c r="N19" s="5">
        <v>10</v>
      </c>
      <c r="O19" s="5">
        <v>42</v>
      </c>
      <c r="P19" s="5">
        <v>402</v>
      </c>
      <c r="Q19" s="5">
        <v>429767</v>
      </c>
      <c r="R19" s="5">
        <v>10713</v>
      </c>
      <c r="S19" s="27">
        <v>10232.547619047618</v>
      </c>
      <c r="T19" s="27">
        <v>255.07142857142858</v>
      </c>
      <c r="U19" s="7">
        <v>2.4927460693817814E-2</v>
      </c>
      <c r="V19" s="7">
        <v>1.4206935227591363E-2</v>
      </c>
      <c r="W19" s="8">
        <v>0.23684210526315788</v>
      </c>
      <c r="X19" s="24">
        <v>0.54605263157894735</v>
      </c>
      <c r="Y19" s="24">
        <v>0.56578947368421051</v>
      </c>
      <c r="Z19" s="24">
        <v>0.13815789473684212</v>
      </c>
      <c r="AA19" s="24">
        <v>0.29605263157894735</v>
      </c>
      <c r="AB19" s="24">
        <v>0.10438018614566968</v>
      </c>
      <c r="AC19" s="24">
        <v>-0.16003111339577011</v>
      </c>
      <c r="AD19" s="6" t="s">
        <v>36</v>
      </c>
      <c r="AE19" s="6" t="s">
        <v>37</v>
      </c>
      <c r="AF19" t="s">
        <v>180</v>
      </c>
      <c r="AG19" t="s">
        <v>181</v>
      </c>
      <c r="AH19" t="s">
        <v>34</v>
      </c>
    </row>
    <row r="20" spans="1:34" x14ac:dyDescent="0.25">
      <c r="A20" s="1" t="s">
        <v>567</v>
      </c>
      <c r="B20" s="1" t="str">
        <f>SUBSTITUTE(ListingTable[[#This Row],[Program]],".zip","_case.pptx")</f>
        <v>FSC17142_793064_20180615_12_case.pptx</v>
      </c>
      <c r="C20" s="83" t="s">
        <v>739</v>
      </c>
      <c r="D20" s="78"/>
      <c r="E20" s="78"/>
      <c r="F20" s="2" t="s">
        <v>40</v>
      </c>
      <c r="G20" s="3">
        <v>43266</v>
      </c>
      <c r="H20" s="4">
        <v>43272</v>
      </c>
      <c r="I20" s="30" t="s">
        <v>561</v>
      </c>
      <c r="J20" s="4" t="s">
        <v>562</v>
      </c>
      <c r="K20" s="5" t="s">
        <v>93</v>
      </c>
      <c r="L20" s="5" t="s">
        <v>543</v>
      </c>
      <c r="M20" s="5">
        <v>13</v>
      </c>
      <c r="N20" s="5">
        <v>70</v>
      </c>
      <c r="O20" s="5">
        <v>100</v>
      </c>
      <c r="P20" s="5">
        <v>17</v>
      </c>
      <c r="Q20" s="5">
        <v>1321853</v>
      </c>
      <c r="R20" s="5">
        <v>114057</v>
      </c>
      <c r="S20" s="27">
        <v>13218.53</v>
      </c>
      <c r="T20" s="27">
        <v>1140.57</v>
      </c>
      <c r="U20" s="7">
        <v>8.6285691374154316E-2</v>
      </c>
      <c r="V20" s="7">
        <v>6.9434861694787686E-2</v>
      </c>
      <c r="W20" s="8">
        <v>0.23319137953284294</v>
      </c>
      <c r="X20" s="24">
        <v>0.44379919989676087</v>
      </c>
      <c r="Y20" s="24">
        <v>0.37230610401342107</v>
      </c>
      <c r="Z20" s="24">
        <v>0.18131371789908377</v>
      </c>
      <c r="AA20" s="24">
        <v>0.44638017808749514</v>
      </c>
      <c r="AB20" s="24">
        <v>0.19083265931222698</v>
      </c>
      <c r="AC20" s="24">
        <v>-7.5935273776544715E-2</v>
      </c>
      <c r="AD20" s="6" t="s">
        <v>57</v>
      </c>
      <c r="AE20" s="6" t="s">
        <v>71</v>
      </c>
      <c r="AF20" t="s">
        <v>565</v>
      </c>
      <c r="AG20" t="s">
        <v>566</v>
      </c>
      <c r="AH20" t="s">
        <v>48</v>
      </c>
    </row>
    <row r="21" spans="1:34" x14ac:dyDescent="0.25">
      <c r="A21" s="1" t="s">
        <v>391</v>
      </c>
      <c r="B21" s="1" t="str">
        <f>SUBSTITUTE(ListingTable[[#This Row],[Program]],".zip","_case.pptx")</f>
        <v>FSC18090_980120051_20190222_12_case.pptx</v>
      </c>
      <c r="C21" s="83" t="s">
        <v>740</v>
      </c>
      <c r="D21" s="78"/>
      <c r="E21" s="78"/>
      <c r="F21" s="2" t="s">
        <v>40</v>
      </c>
      <c r="G21" s="3">
        <v>43518</v>
      </c>
      <c r="H21" s="4">
        <v>43531</v>
      </c>
      <c r="I21" s="30" t="s">
        <v>295</v>
      </c>
      <c r="J21" s="4" t="s">
        <v>296</v>
      </c>
      <c r="K21" s="5" t="s">
        <v>93</v>
      </c>
      <c r="L21" s="5" t="s">
        <v>297</v>
      </c>
      <c r="M21" s="5">
        <v>13</v>
      </c>
      <c r="N21" s="5">
        <v>1</v>
      </c>
      <c r="O21" s="5">
        <v>589</v>
      </c>
      <c r="P21" s="5">
        <v>0</v>
      </c>
      <c r="Q21" s="5">
        <v>11626268</v>
      </c>
      <c r="R21" s="5">
        <v>1377064</v>
      </c>
      <c r="S21" s="27">
        <v>19738.994906621392</v>
      </c>
      <c r="T21" s="27">
        <v>2337.9694397283533</v>
      </c>
      <c r="U21" s="7">
        <v>0.11844419894672994</v>
      </c>
      <c r="V21" s="7">
        <v>6.9253218644399137E-2</v>
      </c>
      <c r="W21" s="8">
        <v>0.22927938524268798</v>
      </c>
      <c r="X21" s="24">
        <v>0.52284616504799986</v>
      </c>
      <c r="Y21" s="24">
        <v>0.47433096974381378</v>
      </c>
      <c r="Z21" s="24">
        <v>0.11603992337937293</v>
      </c>
      <c r="AA21" s="24">
        <v>0.40962910687681331</v>
      </c>
      <c r="AB21" s="24">
        <v>0.43467197180523248</v>
      </c>
      <c r="AC21" s="24"/>
      <c r="AD21" s="6" t="s">
        <v>57</v>
      </c>
      <c r="AE21" s="6" t="s">
        <v>41</v>
      </c>
      <c r="AF21" t="s">
        <v>298</v>
      </c>
      <c r="AG21" t="s">
        <v>392</v>
      </c>
      <c r="AH21" t="s">
        <v>48</v>
      </c>
    </row>
    <row r="22" spans="1:34" x14ac:dyDescent="0.25">
      <c r="A22" s="1" t="s">
        <v>91</v>
      </c>
      <c r="B22" s="1" t="str">
        <f>SUBSTITUTE(ListingTable[[#This Row],[Program]],".zip","_case.pptx")</f>
        <v>FSC18038_608210_20180601_12_case.pptx</v>
      </c>
      <c r="C22" s="83" t="s">
        <v>741</v>
      </c>
      <c r="D22" s="78"/>
      <c r="E22" s="78"/>
      <c r="F22" s="2" t="s">
        <v>40</v>
      </c>
      <c r="G22" s="3">
        <v>43252</v>
      </c>
      <c r="H22" s="4">
        <v>43258</v>
      </c>
      <c r="I22" s="30" t="s">
        <v>53</v>
      </c>
      <c r="J22" s="4" t="s">
        <v>54</v>
      </c>
      <c r="K22" s="5" t="s">
        <v>55</v>
      </c>
      <c r="L22" s="5" t="s">
        <v>92</v>
      </c>
      <c r="M22" s="5">
        <v>41</v>
      </c>
      <c r="N22" s="5">
        <v>5</v>
      </c>
      <c r="O22" s="5">
        <v>350</v>
      </c>
      <c r="P22" s="5">
        <v>239</v>
      </c>
      <c r="Q22" s="5">
        <v>4253710</v>
      </c>
      <c r="R22" s="5">
        <v>706375</v>
      </c>
      <c r="S22" s="27">
        <v>12153.457142857143</v>
      </c>
      <c r="T22" s="27">
        <v>2018.2142857142858</v>
      </c>
      <c r="U22" s="7">
        <v>0.16606092093725242</v>
      </c>
      <c r="V22" s="7">
        <v>5.7307668012334972E-2</v>
      </c>
      <c r="W22" s="8">
        <v>0.22799238438799538</v>
      </c>
      <c r="X22" s="24">
        <v>0.4422315747281928</v>
      </c>
      <c r="Y22" s="24">
        <v>0.58209329124705644</v>
      </c>
      <c r="Z22" s="24">
        <v>8.7529435342452028E-2</v>
      </c>
      <c r="AA22" s="24">
        <v>0.3303772734104915</v>
      </c>
      <c r="AB22" s="24">
        <v>0.67257001121899906</v>
      </c>
      <c r="AC22" s="24">
        <v>0.16110031848136303</v>
      </c>
      <c r="AD22" s="6" t="s">
        <v>57</v>
      </c>
      <c r="AE22" s="6" t="s">
        <v>41</v>
      </c>
      <c r="AF22" t="s">
        <v>86</v>
      </c>
      <c r="AG22" t="s">
        <v>87</v>
      </c>
      <c r="AH22" t="s">
        <v>48</v>
      </c>
    </row>
    <row r="23" spans="1:34" x14ac:dyDescent="0.25">
      <c r="A23" s="1" t="s">
        <v>114</v>
      </c>
      <c r="B23" s="1" t="str">
        <f>SUBSTITUTE(ListingTable[[#This Row],[Program]],".zip","_case.pptx")</f>
        <v>FSC18018_190736_20180525_12_case.pptx</v>
      </c>
      <c r="C23" s="83" t="s">
        <v>742</v>
      </c>
      <c r="D23" s="78"/>
      <c r="E23" s="78"/>
      <c r="F23" s="2" t="s">
        <v>40</v>
      </c>
      <c r="G23" s="3">
        <v>43245</v>
      </c>
      <c r="H23" s="4">
        <v>43251</v>
      </c>
      <c r="I23" s="30" t="s">
        <v>115</v>
      </c>
      <c r="J23" s="4" t="s">
        <v>116</v>
      </c>
      <c r="K23" s="5" t="s">
        <v>84</v>
      </c>
      <c r="L23" s="5" t="s">
        <v>117</v>
      </c>
      <c r="M23" s="5">
        <v>1</v>
      </c>
      <c r="N23" s="5">
        <v>3</v>
      </c>
      <c r="O23" s="5">
        <v>589</v>
      </c>
      <c r="P23" s="5">
        <v>0</v>
      </c>
      <c r="Q23" s="5">
        <v>6485174</v>
      </c>
      <c r="R23" s="5">
        <v>1036512</v>
      </c>
      <c r="S23" s="27">
        <v>11010.482173174873</v>
      </c>
      <c r="T23" s="27">
        <v>1759.7826825127333</v>
      </c>
      <c r="U23" s="7">
        <v>0.15982793985172949</v>
      </c>
      <c r="V23" s="7">
        <v>2.8505544107545874E-3</v>
      </c>
      <c r="W23" s="8">
        <v>0.22753872633390707</v>
      </c>
      <c r="X23" s="24">
        <v>0.4</v>
      </c>
      <c r="Y23" s="24">
        <v>0.3910499139414802</v>
      </c>
      <c r="Z23" s="24">
        <v>0.28537005163511187</v>
      </c>
      <c r="AA23" s="24">
        <v>0.32358003442340794</v>
      </c>
      <c r="AB23" s="24">
        <v>-8.6254751637659374E-2</v>
      </c>
      <c r="AC23" s="24"/>
      <c r="AD23" s="6" t="s">
        <v>36</v>
      </c>
      <c r="AE23" s="6" t="s">
        <v>41</v>
      </c>
      <c r="AF23" t="s">
        <v>106</v>
      </c>
      <c r="AG23" t="s">
        <v>107</v>
      </c>
      <c r="AH23" t="s">
        <v>42</v>
      </c>
    </row>
    <row r="24" spans="1:34" ht="60" x14ac:dyDescent="0.25">
      <c r="A24" s="1" t="s">
        <v>260</v>
      </c>
      <c r="B24" s="1" t="str">
        <f>SUBSTITUTE(ListingTable[[#This Row],[Program]],".zip","_case.pptx")</f>
        <v>FSC19004_980156320_20190308_12_case.pptx</v>
      </c>
      <c r="C24" s="83" t="s">
        <v>743</v>
      </c>
      <c r="D24" s="78" t="s">
        <v>691</v>
      </c>
      <c r="E24" s="78" t="s">
        <v>690</v>
      </c>
      <c r="F24" s="2" t="s">
        <v>40</v>
      </c>
      <c r="G24" s="3">
        <v>43532</v>
      </c>
      <c r="H24" s="4">
        <v>43538</v>
      </c>
      <c r="I24" s="30" t="s">
        <v>261</v>
      </c>
      <c r="J24" s="4" t="s">
        <v>262</v>
      </c>
      <c r="K24" s="5" t="s">
        <v>263</v>
      </c>
      <c r="L24" s="5" t="s">
        <v>264</v>
      </c>
      <c r="M24" s="5">
        <v>57</v>
      </c>
      <c r="N24" s="5">
        <v>73</v>
      </c>
      <c r="O24" s="5">
        <v>209</v>
      </c>
      <c r="P24" s="5">
        <v>380</v>
      </c>
      <c r="Q24" s="5">
        <v>2401461</v>
      </c>
      <c r="R24" s="5">
        <v>94880</v>
      </c>
      <c r="S24" s="27">
        <v>11490.244019138756</v>
      </c>
      <c r="T24" s="27">
        <v>453.97129186602871</v>
      </c>
      <c r="U24" s="7">
        <v>3.9509282057880596E-2</v>
      </c>
      <c r="V24" s="7">
        <v>8.9464944844581229E-2</v>
      </c>
      <c r="W24" s="8">
        <v>0.22177562359616976</v>
      </c>
      <c r="X24" s="24">
        <v>0.64771249556685184</v>
      </c>
      <c r="Y24" s="24">
        <v>0.60089845135358788</v>
      </c>
      <c r="Z24" s="24">
        <v>0.1599479843953186</v>
      </c>
      <c r="AA24" s="24">
        <v>0.23915356425109352</v>
      </c>
      <c r="AB24" s="24">
        <v>0.3758329742122955</v>
      </c>
      <c r="AC24" s="24">
        <v>-4.007606030971736E-3</v>
      </c>
      <c r="AD24" s="6" t="s">
        <v>147</v>
      </c>
      <c r="AE24" s="6" t="s">
        <v>255</v>
      </c>
      <c r="AF24" t="s">
        <v>256</v>
      </c>
      <c r="AG24" t="s">
        <v>257</v>
      </c>
      <c r="AH24" t="s">
        <v>42</v>
      </c>
    </row>
    <row r="25" spans="1:34" x14ac:dyDescent="0.25">
      <c r="A25" s="1" t="s">
        <v>226</v>
      </c>
      <c r="B25" s="1" t="str">
        <f>SUBSTITUTE(ListingTable[[#This Row],[Program]],".zip","_case.pptx")</f>
        <v>FSC18081_980109044_20181012_12_case.pptx</v>
      </c>
      <c r="C25" s="83" t="s">
        <v>744</v>
      </c>
      <c r="D25" s="78"/>
      <c r="E25" s="78"/>
      <c r="F25" s="2" t="s">
        <v>40</v>
      </c>
      <c r="G25" s="3">
        <v>43385</v>
      </c>
      <c r="H25" s="4">
        <v>43391</v>
      </c>
      <c r="I25" s="30" t="s">
        <v>227</v>
      </c>
      <c r="J25" s="4" t="s">
        <v>228</v>
      </c>
      <c r="K25" s="5" t="s">
        <v>55</v>
      </c>
      <c r="L25" s="5" t="s">
        <v>157</v>
      </c>
      <c r="M25" s="5">
        <v>41</v>
      </c>
      <c r="N25" s="5">
        <v>2</v>
      </c>
      <c r="O25" s="5">
        <v>350</v>
      </c>
      <c r="P25" s="5">
        <v>208</v>
      </c>
      <c r="Q25" s="5">
        <v>3951722</v>
      </c>
      <c r="R25" s="5">
        <v>562726</v>
      </c>
      <c r="S25" s="27">
        <v>11290.634285714286</v>
      </c>
      <c r="T25" s="27">
        <v>1607.7885714285715</v>
      </c>
      <c r="U25" s="7">
        <v>0.14240019920429625</v>
      </c>
      <c r="V25" s="7">
        <v>1.3636946783924773E-2</v>
      </c>
      <c r="W25" s="8">
        <v>0.21889492513581554</v>
      </c>
      <c r="X25" s="24">
        <v>0.52722936266065989</v>
      </c>
      <c r="Y25" s="24">
        <v>0.61388631244202996</v>
      </c>
      <c r="Z25" s="24">
        <v>8.1356830528686891E-2</v>
      </c>
      <c r="AA25" s="24">
        <v>0.30475685702928318</v>
      </c>
      <c r="AB25" s="24">
        <v>0.37232613557422656</v>
      </c>
      <c r="AC25" s="24">
        <v>-1.4646858515263384E-2</v>
      </c>
      <c r="AD25" s="6" t="s">
        <v>57</v>
      </c>
      <c r="AE25" s="6" t="s">
        <v>71</v>
      </c>
      <c r="AF25" t="s">
        <v>229</v>
      </c>
      <c r="AG25" t="s">
        <v>230</v>
      </c>
      <c r="AH25" t="s">
        <v>42</v>
      </c>
    </row>
    <row r="26" spans="1:34" x14ac:dyDescent="0.25">
      <c r="A26" s="1" t="s">
        <v>285</v>
      </c>
      <c r="B26" s="1" t="str">
        <f>SUBSTITUTE(ListingTable[[#This Row],[Program]],".zip","_case.pptx")</f>
        <v>FSC18025_980075292_20180427_12_case.pptx</v>
      </c>
      <c r="C26" s="83" t="s">
        <v>745</v>
      </c>
      <c r="D26" s="78"/>
      <c r="E26" s="78"/>
      <c r="F26" s="2" t="s">
        <v>40</v>
      </c>
      <c r="G26" s="3">
        <v>43217</v>
      </c>
      <c r="H26" s="4">
        <v>43223</v>
      </c>
      <c r="I26" s="30" t="s">
        <v>161</v>
      </c>
      <c r="J26" s="4" t="s">
        <v>162</v>
      </c>
      <c r="K26" s="5" t="s">
        <v>145</v>
      </c>
      <c r="L26" s="5" t="s">
        <v>146</v>
      </c>
      <c r="M26" s="5">
        <v>42</v>
      </c>
      <c r="N26" s="5">
        <v>60</v>
      </c>
      <c r="O26" s="5">
        <v>575</v>
      </c>
      <c r="P26" s="5">
        <v>5</v>
      </c>
      <c r="Q26" s="5">
        <v>6829578</v>
      </c>
      <c r="R26" s="5">
        <v>886182</v>
      </c>
      <c r="S26" s="27">
        <v>11877.526956521739</v>
      </c>
      <c r="T26" s="27">
        <v>1541.1860869565216</v>
      </c>
      <c r="U26" s="7">
        <v>0.12975647982935404</v>
      </c>
      <c r="V26" s="7">
        <v>2.2000094007697166E-3</v>
      </c>
      <c r="W26" s="8">
        <v>0.21677957269411152</v>
      </c>
      <c r="X26" s="24">
        <v>0.16675351745700887</v>
      </c>
      <c r="Y26" s="24">
        <v>0.60552371026576346</v>
      </c>
      <c r="Z26" s="24">
        <v>0.26784783741532048</v>
      </c>
      <c r="AA26" s="24">
        <v>0.12662845231891609</v>
      </c>
      <c r="AB26" s="24">
        <v>-5.5041961559413037E-2</v>
      </c>
      <c r="AC26" s="24">
        <v>7.7880992201825802E-2</v>
      </c>
      <c r="AD26" s="6" t="s">
        <v>147</v>
      </c>
      <c r="AE26" s="6" t="s">
        <v>71</v>
      </c>
      <c r="AF26" t="s">
        <v>279</v>
      </c>
      <c r="AG26" t="s">
        <v>280</v>
      </c>
      <c r="AH26" t="s">
        <v>42</v>
      </c>
    </row>
    <row r="27" spans="1:34" x14ac:dyDescent="0.25">
      <c r="A27" s="1" t="s">
        <v>570</v>
      </c>
      <c r="B27" s="1" t="str">
        <f>SUBSTITUTE(ListingTable[[#This Row],[Program]],".zip","_case.pptx")</f>
        <v>FSC18122_555501_20190125_12_case.pptx</v>
      </c>
      <c r="C27" s="83" t="s">
        <v>746</v>
      </c>
      <c r="D27" s="78"/>
      <c r="E27" s="78"/>
      <c r="F27" s="2" t="s">
        <v>40</v>
      </c>
      <c r="G27" s="3">
        <v>43490</v>
      </c>
      <c r="H27" s="4">
        <v>43496</v>
      </c>
      <c r="I27" s="30" t="s">
        <v>522</v>
      </c>
      <c r="J27" s="4" t="s">
        <v>523</v>
      </c>
      <c r="K27" s="5" t="s">
        <v>93</v>
      </c>
      <c r="L27" s="5" t="s">
        <v>515</v>
      </c>
      <c r="M27" s="5">
        <v>13</v>
      </c>
      <c r="N27" s="5">
        <v>32</v>
      </c>
      <c r="O27" s="5">
        <v>95</v>
      </c>
      <c r="P27" s="5">
        <v>4</v>
      </c>
      <c r="Q27" s="5">
        <v>1148637</v>
      </c>
      <c r="R27" s="5">
        <v>99238</v>
      </c>
      <c r="S27" s="27">
        <v>12090.915789473684</v>
      </c>
      <c r="T27" s="27">
        <v>1044.6105263157895</v>
      </c>
      <c r="U27" s="7">
        <v>8.6396311454358513E-2</v>
      </c>
      <c r="V27" s="7">
        <v>1.9425857975393913E-2</v>
      </c>
      <c r="W27" s="8">
        <v>0.21481481481481482</v>
      </c>
      <c r="X27" s="24">
        <v>0.42539682539682538</v>
      </c>
      <c r="Y27" s="24">
        <v>0.38253968253968251</v>
      </c>
      <c r="Z27" s="24">
        <v>0.16560846560846562</v>
      </c>
      <c r="AA27" s="24">
        <v>0.45185185185185184</v>
      </c>
      <c r="AB27" s="24">
        <v>0.12291883532486977</v>
      </c>
      <c r="AC27" s="24">
        <v>-1.1221821471681744E-2</v>
      </c>
      <c r="AD27" s="6" t="s">
        <v>36</v>
      </c>
      <c r="AE27" s="6" t="s">
        <v>571</v>
      </c>
      <c r="AF27" t="s">
        <v>572</v>
      </c>
      <c r="AG27" t="s">
        <v>573</v>
      </c>
      <c r="AH27" t="s">
        <v>48</v>
      </c>
    </row>
    <row r="28" spans="1:34" ht="30" x14ac:dyDescent="0.25">
      <c r="A28" s="1" t="s">
        <v>250</v>
      </c>
      <c r="B28" s="1" t="str">
        <f>SUBSTITUTE(ListingTable[[#This Row],[Program]],".zip","_case.pptx")</f>
        <v>FSC19004_980141899_20190308_12_case.pptx</v>
      </c>
      <c r="C28" s="83" t="s">
        <v>747</v>
      </c>
      <c r="D28" s="78" t="s">
        <v>692</v>
      </c>
      <c r="E28" s="78" t="s">
        <v>693</v>
      </c>
      <c r="F28" s="2" t="s">
        <v>40</v>
      </c>
      <c r="G28" s="3">
        <v>43532</v>
      </c>
      <c r="H28" s="4">
        <v>43538</v>
      </c>
      <c r="I28" s="30" t="s">
        <v>251</v>
      </c>
      <c r="J28" s="4" t="s">
        <v>252</v>
      </c>
      <c r="K28" s="5" t="s">
        <v>253</v>
      </c>
      <c r="L28" s="5" t="s">
        <v>254</v>
      </c>
      <c r="M28" s="5">
        <v>43</v>
      </c>
      <c r="N28" s="5">
        <v>5</v>
      </c>
      <c r="O28" s="5">
        <v>209</v>
      </c>
      <c r="P28" s="5">
        <v>380</v>
      </c>
      <c r="Q28" s="5">
        <v>2401461</v>
      </c>
      <c r="R28" s="5">
        <v>94880</v>
      </c>
      <c r="S28" s="27">
        <v>11490.244019138756</v>
      </c>
      <c r="T28" s="27">
        <v>453.97129186602871</v>
      </c>
      <c r="U28" s="7">
        <v>3.9509282057880596E-2</v>
      </c>
      <c r="V28" s="7">
        <v>2.9486732028217576E-2</v>
      </c>
      <c r="W28" s="8">
        <v>0.20911047345767575</v>
      </c>
      <c r="X28" s="24">
        <v>0.53192252510760407</v>
      </c>
      <c r="Y28" s="24">
        <v>0.5677905308464849</v>
      </c>
      <c r="Z28" s="24">
        <v>0.12589670014347201</v>
      </c>
      <c r="AA28" s="24">
        <v>0.30631276901004306</v>
      </c>
      <c r="AB28" s="24">
        <v>0.20727876349820559</v>
      </c>
      <c r="AC28" s="24">
        <v>-0.10094632917515015</v>
      </c>
      <c r="AD28" s="6" t="s">
        <v>36</v>
      </c>
      <c r="AE28" s="6" t="s">
        <v>255</v>
      </c>
      <c r="AF28" t="s">
        <v>256</v>
      </c>
      <c r="AG28" t="s">
        <v>257</v>
      </c>
      <c r="AH28" t="s">
        <v>42</v>
      </c>
    </row>
    <row r="29" spans="1:34" x14ac:dyDescent="0.25">
      <c r="A29" s="1" t="s">
        <v>521</v>
      </c>
      <c r="B29" s="1" t="str">
        <f>SUBSTITUTE(ListingTable[[#This Row],[Program]],".zip","_case.pptx")</f>
        <v>FSC18034_555501_20180601_12_case.pptx</v>
      </c>
      <c r="C29" s="83" t="s">
        <v>748</v>
      </c>
      <c r="D29" s="78"/>
      <c r="E29" s="78"/>
      <c r="F29" s="2" t="s">
        <v>40</v>
      </c>
      <c r="G29" s="3">
        <v>43252</v>
      </c>
      <c r="H29" s="4">
        <v>43258</v>
      </c>
      <c r="I29" s="30" t="s">
        <v>522</v>
      </c>
      <c r="J29" s="4" t="s">
        <v>523</v>
      </c>
      <c r="K29" s="5" t="s">
        <v>93</v>
      </c>
      <c r="L29" s="5" t="s">
        <v>515</v>
      </c>
      <c r="M29" s="5">
        <v>13</v>
      </c>
      <c r="N29" s="5">
        <v>32</v>
      </c>
      <c r="O29" s="5">
        <v>90</v>
      </c>
      <c r="P29" s="5">
        <v>7</v>
      </c>
      <c r="Q29" s="5">
        <v>1203574</v>
      </c>
      <c r="R29" s="5">
        <v>112446</v>
      </c>
      <c r="S29" s="27">
        <v>13373.044444444444</v>
      </c>
      <c r="T29" s="27">
        <v>1249.4000000000001</v>
      </c>
      <c r="U29" s="7">
        <v>9.3426744014078064E-2</v>
      </c>
      <c r="V29" s="7">
        <v>2.6822944994379781E-2</v>
      </c>
      <c r="W29" s="8">
        <v>0.203785062521122</v>
      </c>
      <c r="X29" s="24">
        <v>0.39472794863129435</v>
      </c>
      <c r="Y29" s="24">
        <v>0.3960797566745522</v>
      </c>
      <c r="Z29" s="24">
        <v>0.17674890165596485</v>
      </c>
      <c r="AA29" s="24">
        <v>0.42717134166948295</v>
      </c>
      <c r="AB29" s="24">
        <v>0.26577751230060415</v>
      </c>
      <c r="AC29" s="24">
        <v>0.1857142857142855</v>
      </c>
      <c r="AD29" s="6" t="s">
        <v>36</v>
      </c>
      <c r="AE29" s="6" t="s">
        <v>71</v>
      </c>
      <c r="AF29" t="s">
        <v>516</v>
      </c>
      <c r="AG29" t="s">
        <v>517</v>
      </c>
      <c r="AH29" t="s">
        <v>48</v>
      </c>
    </row>
    <row r="30" spans="1:34" x14ac:dyDescent="0.25">
      <c r="A30" s="1" t="s">
        <v>451</v>
      </c>
      <c r="B30" s="1" t="str">
        <f>SUBSTITUTE(ListingTable[[#This Row],[Program]],".zip","_case.pptx")</f>
        <v>FSC18086_608210_20181109_12_case.pptx</v>
      </c>
      <c r="C30" s="83" t="s">
        <v>749</v>
      </c>
      <c r="D30" s="78"/>
      <c r="E30" s="78"/>
      <c r="F30" s="2" t="s">
        <v>40</v>
      </c>
      <c r="G30" s="3">
        <v>43413</v>
      </c>
      <c r="H30" s="4">
        <v>43419</v>
      </c>
      <c r="I30" s="30" t="s">
        <v>53</v>
      </c>
      <c r="J30" s="4" t="s">
        <v>54</v>
      </c>
      <c r="K30" s="5" t="s">
        <v>55</v>
      </c>
      <c r="L30" s="5" t="s">
        <v>92</v>
      </c>
      <c r="M30" s="5">
        <v>41</v>
      </c>
      <c r="N30" s="5">
        <v>5</v>
      </c>
      <c r="O30" s="5">
        <v>230</v>
      </c>
      <c r="P30" s="5">
        <v>359</v>
      </c>
      <c r="Q30" s="5">
        <v>2731825</v>
      </c>
      <c r="R30" s="5">
        <v>277041</v>
      </c>
      <c r="S30" s="27">
        <v>11877.5</v>
      </c>
      <c r="T30" s="27">
        <v>1204.5260869565218</v>
      </c>
      <c r="U30" s="7">
        <v>0.10141242575933671</v>
      </c>
      <c r="V30" s="7">
        <v>3.9714232574423157E-2</v>
      </c>
      <c r="W30" s="8">
        <v>0.20174471992653811</v>
      </c>
      <c r="X30" s="24">
        <v>0.62947658402203854</v>
      </c>
      <c r="Y30" s="24">
        <v>0.57125803489439853</v>
      </c>
      <c r="Z30" s="24">
        <v>7.9522497704315881E-2</v>
      </c>
      <c r="AA30" s="24">
        <v>0.34921946740128557</v>
      </c>
      <c r="AB30" s="24">
        <v>0.37461356808084284</v>
      </c>
      <c r="AC30" s="24">
        <v>-4.8582212273588957E-2</v>
      </c>
      <c r="AD30" s="6" t="s">
        <v>57</v>
      </c>
      <c r="AE30" s="6" t="s">
        <v>41</v>
      </c>
      <c r="AF30" t="s">
        <v>452</v>
      </c>
      <c r="AG30" t="s">
        <v>453</v>
      </c>
      <c r="AH30" t="s">
        <v>48</v>
      </c>
    </row>
    <row r="31" spans="1:34" x14ac:dyDescent="0.25">
      <c r="A31" s="1" t="s">
        <v>130</v>
      </c>
      <c r="B31" s="1" t="str">
        <f>SUBSTITUTE(ListingTable[[#This Row],[Program]],".zip","_case.pptx")</f>
        <v>FSC18104_608210_20181019_12_case.pptx</v>
      </c>
      <c r="C31" s="83" t="s">
        <v>750</v>
      </c>
      <c r="D31" s="78"/>
      <c r="E31" s="78"/>
      <c r="F31" s="2" t="s">
        <v>40</v>
      </c>
      <c r="G31" s="3">
        <v>43392</v>
      </c>
      <c r="H31" s="4">
        <v>43398</v>
      </c>
      <c r="I31" s="30" t="s">
        <v>53</v>
      </c>
      <c r="J31" s="4" t="s">
        <v>54</v>
      </c>
      <c r="K31" s="5" t="s">
        <v>55</v>
      </c>
      <c r="L31" s="5" t="s">
        <v>92</v>
      </c>
      <c r="M31" s="5">
        <v>41</v>
      </c>
      <c r="N31" s="5">
        <v>5</v>
      </c>
      <c r="O31" s="5">
        <v>400</v>
      </c>
      <c r="P31" s="5">
        <v>189</v>
      </c>
      <c r="Q31" s="5">
        <v>4309264</v>
      </c>
      <c r="R31" s="5">
        <v>684805</v>
      </c>
      <c r="S31" s="27">
        <v>10773.16</v>
      </c>
      <c r="T31" s="27">
        <v>1712.0125</v>
      </c>
      <c r="U31" s="7">
        <v>0.15891460815582428</v>
      </c>
      <c r="V31" s="7">
        <v>3.919880505362737E-2</v>
      </c>
      <c r="W31" s="8">
        <v>0.19426908101160548</v>
      </c>
      <c r="X31" s="24">
        <v>0.5695006237477791</v>
      </c>
      <c r="Y31" s="24">
        <v>0.57777945790647567</v>
      </c>
      <c r="Z31" s="24">
        <v>8.3657808188107211E-2</v>
      </c>
      <c r="AA31" s="24">
        <v>0.33856273390541713</v>
      </c>
      <c r="AB31" s="24">
        <v>0.44018464433629384</v>
      </c>
      <c r="AC31" s="24">
        <v>-3.7482742134484062E-2</v>
      </c>
      <c r="AD31" s="6" t="s">
        <v>57</v>
      </c>
      <c r="AE31" s="6" t="s">
        <v>71</v>
      </c>
      <c r="AF31" t="s">
        <v>131</v>
      </c>
      <c r="AG31" t="s">
        <v>132</v>
      </c>
      <c r="AH31" t="s">
        <v>48</v>
      </c>
    </row>
    <row r="32" spans="1:34" x14ac:dyDescent="0.25">
      <c r="A32" s="1" t="s">
        <v>243</v>
      </c>
      <c r="B32" s="1" t="str">
        <f>SUBSTITUTE(ListingTable[[#This Row],[Program]],".zip","_case.pptx")</f>
        <v>FSC18121_724211_20190111_12_case.pptx</v>
      </c>
      <c r="C32" s="83" t="s">
        <v>751</v>
      </c>
      <c r="D32" s="78"/>
      <c r="E32" s="78"/>
      <c r="F32" s="2" t="s">
        <v>40</v>
      </c>
      <c r="G32" s="3">
        <v>43476</v>
      </c>
      <c r="H32" s="4">
        <v>43482</v>
      </c>
      <c r="I32" s="30" t="s">
        <v>119</v>
      </c>
      <c r="J32" s="4" t="s">
        <v>120</v>
      </c>
      <c r="K32" s="5" t="s">
        <v>93</v>
      </c>
      <c r="L32" s="5" t="s">
        <v>121</v>
      </c>
      <c r="M32" s="5">
        <v>13</v>
      </c>
      <c r="N32" s="5">
        <v>90</v>
      </c>
      <c r="O32" s="5">
        <v>183</v>
      </c>
      <c r="P32" s="5">
        <v>388</v>
      </c>
      <c r="Q32" s="5">
        <v>1838843</v>
      </c>
      <c r="R32" s="5">
        <v>59950</v>
      </c>
      <c r="S32" s="27">
        <v>10048.322404371585</v>
      </c>
      <c r="T32" s="27">
        <v>327.59562841530055</v>
      </c>
      <c r="U32" s="7">
        <v>3.2602022032332284E-2</v>
      </c>
      <c r="V32" s="7">
        <v>5.9533965641257257E-2</v>
      </c>
      <c r="W32" s="8">
        <v>0.1941556617027255</v>
      </c>
      <c r="X32" s="24">
        <v>0.60663107614498457</v>
      </c>
      <c r="Y32" s="24">
        <v>0.31610002809778026</v>
      </c>
      <c r="Z32" s="24">
        <v>0.24613655521213823</v>
      </c>
      <c r="AA32" s="24">
        <v>0.43776341669008151</v>
      </c>
      <c r="AB32" s="24">
        <v>0.29049861764788415</v>
      </c>
      <c r="AC32" s="24">
        <v>0.11339162646080958</v>
      </c>
      <c r="AD32" s="6" t="s">
        <v>36</v>
      </c>
      <c r="AE32" s="6" t="s">
        <v>37</v>
      </c>
      <c r="AF32" t="s">
        <v>239</v>
      </c>
      <c r="AG32" t="s">
        <v>240</v>
      </c>
      <c r="AH32" t="s">
        <v>48</v>
      </c>
    </row>
    <row r="33" spans="1:34" x14ac:dyDescent="0.25">
      <c r="A33" s="1" t="s">
        <v>449</v>
      </c>
      <c r="B33" s="1" t="str">
        <f>SUBSTITUTE(ListingTable[[#This Row],[Program]],".zip","_case.pptx")</f>
        <v>FSC18063_40783_20190315_12_case.pptx</v>
      </c>
      <c r="C33" s="83" t="s">
        <v>752</v>
      </c>
      <c r="D33" s="78"/>
      <c r="E33" s="78"/>
      <c r="F33" s="2" t="s">
        <v>40</v>
      </c>
      <c r="G33" s="3">
        <v>43539</v>
      </c>
      <c r="H33" s="4">
        <v>43545</v>
      </c>
      <c r="I33" s="30" t="s">
        <v>435</v>
      </c>
      <c r="J33" s="4" t="s">
        <v>436</v>
      </c>
      <c r="K33" s="5" t="s">
        <v>34</v>
      </c>
      <c r="L33" s="5" t="s">
        <v>289</v>
      </c>
      <c r="M33" s="5">
        <v>54</v>
      </c>
      <c r="N33" s="5">
        <v>30</v>
      </c>
      <c r="O33" s="5">
        <v>24</v>
      </c>
      <c r="P33" s="5">
        <v>560</v>
      </c>
      <c r="Q33" s="5">
        <v>279047</v>
      </c>
      <c r="R33" s="5">
        <v>19843</v>
      </c>
      <c r="S33" s="27">
        <v>11626.958333333334</v>
      </c>
      <c r="T33" s="27">
        <v>826.79166666666663</v>
      </c>
      <c r="U33" s="7">
        <v>7.1109884714761318E-2</v>
      </c>
      <c r="V33" s="7">
        <v>1.8236616264814057E-2</v>
      </c>
      <c r="W33" s="8">
        <v>0.1876750700280112</v>
      </c>
      <c r="X33" s="24">
        <v>0.60784313725490191</v>
      </c>
      <c r="Y33" s="24">
        <v>0.74509803921568629</v>
      </c>
      <c r="Z33" s="24">
        <v>9.5238095238095233E-2</v>
      </c>
      <c r="AA33" s="24">
        <v>0.15966386554621848</v>
      </c>
      <c r="AB33" s="24">
        <v>1.6165336283208567</v>
      </c>
      <c r="AC33" s="24">
        <v>-9.8013373078488383E-2</v>
      </c>
      <c r="AD33" s="6" t="s">
        <v>57</v>
      </c>
      <c r="AE33" s="6" t="s">
        <v>41</v>
      </c>
      <c r="AF33" t="s">
        <v>437</v>
      </c>
      <c r="AG33" t="s">
        <v>450</v>
      </c>
      <c r="AH33" t="s">
        <v>34</v>
      </c>
    </row>
    <row r="34" spans="1:34" x14ac:dyDescent="0.25">
      <c r="A34" s="1" t="s">
        <v>265</v>
      </c>
      <c r="B34" s="1" t="str">
        <f>SUBSTITUTE(ListingTable[[#This Row],[Program]],".zip","_case.pptx")</f>
        <v>FSC18132_980176062_20190208_12_case.pptx</v>
      </c>
      <c r="C34" s="83" t="s">
        <v>753</v>
      </c>
      <c r="D34" s="78"/>
      <c r="E34" s="78"/>
      <c r="F34" s="2" t="s">
        <v>40</v>
      </c>
      <c r="G34" s="3">
        <v>43504</v>
      </c>
      <c r="H34" s="4">
        <v>43510</v>
      </c>
      <c r="I34" s="30" t="s">
        <v>266</v>
      </c>
      <c r="J34" s="4" t="s">
        <v>267</v>
      </c>
      <c r="K34" s="5" t="s">
        <v>69</v>
      </c>
      <c r="L34" s="5" t="s">
        <v>268</v>
      </c>
      <c r="M34" s="5">
        <v>78</v>
      </c>
      <c r="N34" s="5">
        <v>40</v>
      </c>
      <c r="O34" s="5">
        <v>500</v>
      </c>
      <c r="P34" s="5">
        <v>89</v>
      </c>
      <c r="Q34" s="5">
        <v>5824883</v>
      </c>
      <c r="R34" s="5">
        <v>759928</v>
      </c>
      <c r="S34" s="27">
        <v>11649.766</v>
      </c>
      <c r="T34" s="27">
        <v>1519.856</v>
      </c>
      <c r="U34" s="7">
        <v>0.13046236293501517</v>
      </c>
      <c r="V34" s="7">
        <v>4.4177082054211628E-2</v>
      </c>
      <c r="W34" s="8">
        <v>0.18623481781376519</v>
      </c>
      <c r="X34" s="24">
        <v>0.30158921989244064</v>
      </c>
      <c r="Y34" s="24">
        <v>0.63873950087618592</v>
      </c>
      <c r="Z34" s="24">
        <v>0.35485527826454771</v>
      </c>
      <c r="AA34" s="24">
        <v>6.4052208592664207E-3</v>
      </c>
      <c r="AB34" s="24">
        <v>7.6872717297057171</v>
      </c>
      <c r="AC34" s="24">
        <v>5.887084418569021</v>
      </c>
      <c r="AD34" s="6" t="s">
        <v>57</v>
      </c>
      <c r="AE34" s="6" t="s">
        <v>41</v>
      </c>
      <c r="AF34" t="s">
        <v>269</v>
      </c>
      <c r="AG34" t="s">
        <v>270</v>
      </c>
      <c r="AH34" t="s">
        <v>42</v>
      </c>
    </row>
    <row r="35" spans="1:34" x14ac:dyDescent="0.25">
      <c r="A35" s="1" t="s">
        <v>549</v>
      </c>
      <c r="B35" s="1" t="str">
        <f>SUBSTITUTE(ListingTable[[#This Row],[Program]],".zip","_case.pptx")</f>
        <v>FSC18115_980059391_20190201_12_case.pptx</v>
      </c>
      <c r="C35" s="83" t="s">
        <v>754</v>
      </c>
      <c r="D35" s="78"/>
      <c r="E35" s="78"/>
      <c r="F35" s="2" t="s">
        <v>40</v>
      </c>
      <c r="G35" s="3">
        <v>43497</v>
      </c>
      <c r="H35" s="4">
        <v>43503</v>
      </c>
      <c r="I35" s="30" t="s">
        <v>550</v>
      </c>
      <c r="J35" s="4" t="s">
        <v>551</v>
      </c>
      <c r="K35" s="5" t="s">
        <v>34</v>
      </c>
      <c r="L35" s="5" t="s">
        <v>235</v>
      </c>
      <c r="M35" s="5">
        <v>54</v>
      </c>
      <c r="N35" s="5">
        <v>11</v>
      </c>
      <c r="O35" s="5">
        <v>200</v>
      </c>
      <c r="P35" s="5">
        <v>388</v>
      </c>
      <c r="Q35" s="5">
        <v>2334535</v>
      </c>
      <c r="R35" s="5">
        <v>197317</v>
      </c>
      <c r="S35" s="27">
        <v>11672.674999999999</v>
      </c>
      <c r="T35" s="27">
        <v>986.58500000000004</v>
      </c>
      <c r="U35" s="7">
        <v>8.4520900307770069E-2</v>
      </c>
      <c r="V35" s="7">
        <v>2.0657344377921758E-3</v>
      </c>
      <c r="W35" s="8">
        <v>0.18362282878411912</v>
      </c>
      <c r="X35" s="24">
        <v>0.66501240694789077</v>
      </c>
      <c r="Y35" s="24">
        <v>0.66997518610421836</v>
      </c>
      <c r="Z35" s="24">
        <v>9.1811414392059559E-2</v>
      </c>
      <c r="AA35" s="24">
        <v>0.23821339950372208</v>
      </c>
      <c r="AB35" s="24">
        <v>-7.1060605690411421E-2</v>
      </c>
      <c r="AC35" s="24">
        <v>-0.33754715353976888</v>
      </c>
      <c r="AD35" s="6" t="s">
        <v>36</v>
      </c>
      <c r="AE35" s="6" t="s">
        <v>41</v>
      </c>
      <c r="AF35" t="s">
        <v>545</v>
      </c>
      <c r="AG35" t="s">
        <v>546</v>
      </c>
      <c r="AH35" t="s">
        <v>34</v>
      </c>
    </row>
    <row r="36" spans="1:34" x14ac:dyDescent="0.25">
      <c r="A36" s="1" t="s">
        <v>564</v>
      </c>
      <c r="B36" s="1" t="str">
        <f>SUBSTITUTE(ListingTable[[#This Row],[Program]],".zip","_case.pptx")</f>
        <v>FSC17142_555508_20180615_12_case.pptx</v>
      </c>
      <c r="C36" s="83" t="s">
        <v>755</v>
      </c>
      <c r="D36" s="78"/>
      <c r="E36" s="78"/>
      <c r="F36" s="2" t="s">
        <v>40</v>
      </c>
      <c r="G36" s="3">
        <v>43266</v>
      </c>
      <c r="H36" s="4">
        <v>43272</v>
      </c>
      <c r="I36" s="30" t="s">
        <v>513</v>
      </c>
      <c r="J36" s="4" t="s">
        <v>514</v>
      </c>
      <c r="K36" s="5" t="s">
        <v>93</v>
      </c>
      <c r="L36" s="5" t="s">
        <v>515</v>
      </c>
      <c r="M36" s="5">
        <v>13</v>
      </c>
      <c r="N36" s="5">
        <v>32</v>
      </c>
      <c r="O36" s="5">
        <v>100</v>
      </c>
      <c r="P36" s="5">
        <v>16</v>
      </c>
      <c r="Q36" s="5">
        <v>1321853</v>
      </c>
      <c r="R36" s="5">
        <v>114057</v>
      </c>
      <c r="S36" s="27">
        <v>13218.53</v>
      </c>
      <c r="T36" s="27">
        <v>1140.57</v>
      </c>
      <c r="U36" s="7">
        <v>8.6285691374154316E-2</v>
      </c>
      <c r="V36" s="7">
        <v>1.6254334638578508E-2</v>
      </c>
      <c r="W36" s="8">
        <v>0.18357221609702315</v>
      </c>
      <c r="X36" s="24">
        <v>0.39470782800441012</v>
      </c>
      <c r="Y36" s="24">
        <v>0.4448732083792723</v>
      </c>
      <c r="Z36" s="24">
        <v>0.23373759647188533</v>
      </c>
      <c r="AA36" s="24">
        <v>0.32138919514884234</v>
      </c>
      <c r="AB36" s="24">
        <v>1.1040458603459426E-2</v>
      </c>
      <c r="AC36" s="24">
        <v>-7.7990811944209842E-2</v>
      </c>
      <c r="AD36" s="6" t="s">
        <v>36</v>
      </c>
      <c r="AE36" s="6" t="s">
        <v>71</v>
      </c>
      <c r="AF36" t="s">
        <v>565</v>
      </c>
      <c r="AG36" t="s">
        <v>566</v>
      </c>
      <c r="AH36" t="s">
        <v>48</v>
      </c>
    </row>
    <row r="37" spans="1:34" x14ac:dyDescent="0.25">
      <c r="A37" s="1" t="s">
        <v>581</v>
      </c>
      <c r="B37" s="1" t="str">
        <f>SUBSTITUTE(ListingTable[[#This Row],[Program]],".zip","_case.pptx")</f>
        <v>FSC18123_555508_20190215_12_case.pptx</v>
      </c>
      <c r="C37" s="83" t="s">
        <v>756</v>
      </c>
      <c r="D37" s="78"/>
      <c r="E37" s="78"/>
      <c r="F37" s="2" t="s">
        <v>40</v>
      </c>
      <c r="G37" s="3">
        <v>43511</v>
      </c>
      <c r="H37" s="4">
        <v>43517</v>
      </c>
      <c r="I37" s="30" t="s">
        <v>513</v>
      </c>
      <c r="J37" s="4" t="s">
        <v>514</v>
      </c>
      <c r="K37" s="5" t="s">
        <v>93</v>
      </c>
      <c r="L37" s="5" t="s">
        <v>515</v>
      </c>
      <c r="M37" s="5">
        <v>13</v>
      </c>
      <c r="N37" s="5">
        <v>32</v>
      </c>
      <c r="O37" s="5">
        <v>100</v>
      </c>
      <c r="P37" s="5">
        <v>18</v>
      </c>
      <c r="Q37" s="5">
        <v>1243322</v>
      </c>
      <c r="R37" s="5">
        <v>111633</v>
      </c>
      <c r="S37" s="27">
        <v>12433.22</v>
      </c>
      <c r="T37" s="27">
        <v>1116.33</v>
      </c>
      <c r="U37" s="7">
        <v>8.9786073117020374E-2</v>
      </c>
      <c r="V37" s="7">
        <v>1.2846239130633973E-2</v>
      </c>
      <c r="W37" s="8">
        <v>0.17902995720399428</v>
      </c>
      <c r="X37" s="24">
        <v>0.35235378031383735</v>
      </c>
      <c r="Y37" s="24">
        <v>0.43865905848787445</v>
      </c>
      <c r="Z37" s="24">
        <v>0.21611982881597719</v>
      </c>
      <c r="AA37" s="24">
        <v>0.34522111269614836</v>
      </c>
      <c r="AB37" s="24">
        <v>1.9217301460695726E-3</v>
      </c>
      <c r="AC37" s="24">
        <v>-4.9885517341110228E-2</v>
      </c>
      <c r="AD37" s="6" t="s">
        <v>36</v>
      </c>
      <c r="AE37" s="6" t="s">
        <v>41</v>
      </c>
      <c r="AF37" t="s">
        <v>577</v>
      </c>
      <c r="AG37" t="s">
        <v>578</v>
      </c>
      <c r="AH37" t="s">
        <v>48</v>
      </c>
    </row>
    <row r="38" spans="1:34" x14ac:dyDescent="0.25">
      <c r="A38" s="1" t="s">
        <v>480</v>
      </c>
      <c r="B38" s="1" t="str">
        <f>SUBSTITUTE(ListingTable[[#This Row],[Program]],".zip","_case.pptx")</f>
        <v>FSC18055_980074723_20190104_12_case.pptx</v>
      </c>
      <c r="C38" s="83" t="s">
        <v>757</v>
      </c>
      <c r="D38" s="78"/>
      <c r="E38" s="78"/>
      <c r="F38" s="2" t="s">
        <v>40</v>
      </c>
      <c r="G38" s="3">
        <v>43469</v>
      </c>
      <c r="H38" s="4">
        <v>43475</v>
      </c>
      <c r="I38" s="30" t="s">
        <v>417</v>
      </c>
      <c r="J38" s="4" t="s">
        <v>418</v>
      </c>
      <c r="K38" s="5" t="s">
        <v>69</v>
      </c>
      <c r="L38" s="5" t="s">
        <v>419</v>
      </c>
      <c r="M38" s="5">
        <v>78</v>
      </c>
      <c r="N38" s="5">
        <v>20</v>
      </c>
      <c r="O38" s="5">
        <v>289</v>
      </c>
      <c r="P38" s="5">
        <v>300</v>
      </c>
      <c r="Q38" s="5">
        <v>3138390</v>
      </c>
      <c r="R38" s="5">
        <v>297592</v>
      </c>
      <c r="S38" s="27">
        <v>10859.480968858132</v>
      </c>
      <c r="T38" s="27">
        <v>1029.7301038062283</v>
      </c>
      <c r="U38" s="7">
        <v>9.4823141802006766E-2</v>
      </c>
      <c r="V38" s="7">
        <v>5.3111768321047428E-2</v>
      </c>
      <c r="W38" s="8">
        <v>0.17779056386651323</v>
      </c>
      <c r="X38" s="24">
        <v>0.58355708988620381</v>
      </c>
      <c r="Y38" s="24">
        <v>0.69326173123641477</v>
      </c>
      <c r="Z38" s="24">
        <v>0.1096407109065337</v>
      </c>
      <c r="AA38" s="24">
        <v>0.19709755785705152</v>
      </c>
      <c r="AB38" s="24">
        <v>1.5222845968883232</v>
      </c>
      <c r="AC38" s="24">
        <v>0.20559948514161169</v>
      </c>
      <c r="AD38" s="6" t="s">
        <v>57</v>
      </c>
      <c r="AE38" s="6" t="s">
        <v>465</v>
      </c>
      <c r="AF38" t="s">
        <v>420</v>
      </c>
      <c r="AG38" t="s">
        <v>481</v>
      </c>
      <c r="AH38" t="s">
        <v>42</v>
      </c>
    </row>
    <row r="39" spans="1:34" x14ac:dyDescent="0.25">
      <c r="A39" s="1" t="s">
        <v>594</v>
      </c>
      <c r="B39" s="1" t="str">
        <f>SUBSTITUTE(ListingTable[[#This Row],[Program]],".zip","_case.pptx")</f>
        <v>FSC18067_555508_20181102_12_case.pptx</v>
      </c>
      <c r="C39" s="83" t="s">
        <v>758</v>
      </c>
      <c r="D39" s="78"/>
      <c r="E39" s="78"/>
      <c r="F39" s="2" t="s">
        <v>40</v>
      </c>
      <c r="G39" s="3">
        <v>43406</v>
      </c>
      <c r="H39" s="4">
        <v>43412</v>
      </c>
      <c r="I39" s="30" t="s">
        <v>513</v>
      </c>
      <c r="J39" s="4" t="s">
        <v>514</v>
      </c>
      <c r="K39" s="5" t="s">
        <v>93</v>
      </c>
      <c r="L39" s="5" t="s">
        <v>515</v>
      </c>
      <c r="M39" s="5">
        <v>13</v>
      </c>
      <c r="N39" s="5">
        <v>32</v>
      </c>
      <c r="O39" s="5">
        <v>100</v>
      </c>
      <c r="P39" s="5">
        <v>16</v>
      </c>
      <c r="Q39" s="5">
        <v>1302887</v>
      </c>
      <c r="R39" s="5">
        <v>114941</v>
      </c>
      <c r="S39" s="27">
        <v>13028.87</v>
      </c>
      <c r="T39" s="27">
        <v>1149.4100000000001</v>
      </c>
      <c r="U39" s="7">
        <v>8.8220237058163911E-2</v>
      </c>
      <c r="V39" s="7">
        <v>1.1642662549139668E-2</v>
      </c>
      <c r="W39" s="8">
        <v>0.1760670731707317</v>
      </c>
      <c r="X39" s="24">
        <v>0.38871951219512196</v>
      </c>
      <c r="Y39" s="24">
        <v>0.38185975609756095</v>
      </c>
      <c r="Z39" s="24">
        <v>0.21646341463414634</v>
      </c>
      <c r="AA39" s="24">
        <v>0.40167682926829268</v>
      </c>
      <c r="AB39" s="24">
        <v>0.15610300079860298</v>
      </c>
      <c r="AC39" s="24">
        <v>0.14285714285714282</v>
      </c>
      <c r="AD39" s="6" t="s">
        <v>36</v>
      </c>
      <c r="AE39" s="6" t="s">
        <v>71</v>
      </c>
      <c r="AF39" t="s">
        <v>563</v>
      </c>
      <c r="AG39" t="s">
        <v>593</v>
      </c>
      <c r="AH39" t="s">
        <v>48</v>
      </c>
    </row>
    <row r="40" spans="1:34" x14ac:dyDescent="0.25">
      <c r="A40" s="1" t="s">
        <v>586</v>
      </c>
      <c r="B40" s="1" t="str">
        <f>SUBSTITUTE(ListingTable[[#This Row],[Program]],".zip","_case.pptx")</f>
        <v>FSC18069_980115793_20181012_12_case.pptx</v>
      </c>
      <c r="C40" s="83" t="s">
        <v>759</v>
      </c>
      <c r="D40" s="78"/>
      <c r="E40" s="78"/>
      <c r="F40" s="2" t="s">
        <v>40</v>
      </c>
      <c r="G40" s="3">
        <v>43385</v>
      </c>
      <c r="H40" s="4">
        <v>43391</v>
      </c>
      <c r="I40" s="30" t="s">
        <v>587</v>
      </c>
      <c r="J40" s="4" t="s">
        <v>588</v>
      </c>
      <c r="K40" s="5" t="s">
        <v>93</v>
      </c>
      <c r="L40" s="5" t="s">
        <v>589</v>
      </c>
      <c r="M40" s="5">
        <v>13</v>
      </c>
      <c r="N40" s="5">
        <v>10</v>
      </c>
      <c r="O40" s="5">
        <v>150</v>
      </c>
      <c r="P40" s="5">
        <v>438</v>
      </c>
      <c r="Q40" s="5">
        <v>1835066</v>
      </c>
      <c r="R40" s="5">
        <v>162152</v>
      </c>
      <c r="S40" s="27">
        <v>12233.773333333333</v>
      </c>
      <c r="T40" s="27">
        <v>1081.0133333333333</v>
      </c>
      <c r="U40" s="7">
        <v>8.8363034354077732E-2</v>
      </c>
      <c r="V40" s="7">
        <v>2.6579172468048175E-2</v>
      </c>
      <c r="W40" s="8">
        <v>0.17500587268029127</v>
      </c>
      <c r="X40" s="24">
        <v>0.28776133427296219</v>
      </c>
      <c r="Y40" s="24">
        <v>0.43199436222692039</v>
      </c>
      <c r="Z40" s="24">
        <v>0.31219168428470756</v>
      </c>
      <c r="AA40" s="24">
        <v>0.2558139534883721</v>
      </c>
      <c r="AB40" s="24">
        <v>0.24931112522626919</v>
      </c>
      <c r="AC40" s="24">
        <v>0.27697744028363674</v>
      </c>
      <c r="AD40" s="6" t="s">
        <v>57</v>
      </c>
      <c r="AE40" s="6" t="s">
        <v>41</v>
      </c>
      <c r="AF40" t="s">
        <v>590</v>
      </c>
      <c r="AG40" t="s">
        <v>591</v>
      </c>
      <c r="AH40" t="s">
        <v>48</v>
      </c>
    </row>
    <row r="41" spans="1:34" x14ac:dyDescent="0.25">
      <c r="A41" s="1" t="s">
        <v>559</v>
      </c>
      <c r="B41" s="1" t="str">
        <f>SUBSTITUTE(ListingTable[[#This Row],[Program]],".zip","_case.pptx")</f>
        <v>FSC18055_980074723_20190111_12_case.pptx</v>
      </c>
      <c r="C41" s="83" t="s">
        <v>760</v>
      </c>
      <c r="D41" s="78"/>
      <c r="E41" s="78"/>
      <c r="F41" s="2" t="s">
        <v>40</v>
      </c>
      <c r="G41" s="3">
        <v>43476</v>
      </c>
      <c r="H41" s="4">
        <v>43482</v>
      </c>
      <c r="I41" s="30" t="s">
        <v>417</v>
      </c>
      <c r="J41" s="4" t="s">
        <v>418</v>
      </c>
      <c r="K41" s="5" t="s">
        <v>69</v>
      </c>
      <c r="L41" s="5" t="s">
        <v>419</v>
      </c>
      <c r="M41" s="5">
        <v>78</v>
      </c>
      <c r="N41" s="5">
        <v>20</v>
      </c>
      <c r="O41" s="5">
        <v>229</v>
      </c>
      <c r="P41" s="5">
        <v>360</v>
      </c>
      <c r="Q41" s="5">
        <v>2751600</v>
      </c>
      <c r="R41" s="5">
        <v>252051</v>
      </c>
      <c r="S41" s="27">
        <v>12015.720524017468</v>
      </c>
      <c r="T41" s="27">
        <v>1100.6593886462881</v>
      </c>
      <c r="U41" s="7">
        <v>9.1601613606628871E-2</v>
      </c>
      <c r="V41" s="7">
        <v>5.6285756608842219E-2</v>
      </c>
      <c r="W41" s="8">
        <v>0.17476349669251012</v>
      </c>
      <c r="X41" s="24">
        <v>0.57486307703250583</v>
      </c>
      <c r="Y41" s="24">
        <v>0.70026317661284587</v>
      </c>
      <c r="Z41" s="24">
        <v>0.10605306209545487</v>
      </c>
      <c r="AA41" s="24">
        <v>0.19368376129169926</v>
      </c>
      <c r="AB41" s="24">
        <v>1.5570157114344065</v>
      </c>
      <c r="AC41" s="24">
        <v>9.3741921223375393E-2</v>
      </c>
      <c r="AD41" s="6" t="s">
        <v>57</v>
      </c>
      <c r="AE41" s="6" t="s">
        <v>465</v>
      </c>
      <c r="AF41" t="s">
        <v>420</v>
      </c>
      <c r="AG41" t="s">
        <v>560</v>
      </c>
      <c r="AH41" t="s">
        <v>42</v>
      </c>
    </row>
    <row r="42" spans="1:34" x14ac:dyDescent="0.25">
      <c r="A42" t="s">
        <v>154</v>
      </c>
      <c r="B42" t="str">
        <f>SUBSTITUTE(ListingTable[[#This Row],[Program]],".zip","_case.pptx")</f>
        <v>FSC18030_980088840_20180615_12_case.pptx</v>
      </c>
      <c r="C42" s="82" t="s">
        <v>761</v>
      </c>
      <c r="D42" s="79"/>
      <c r="E42" s="79"/>
      <c r="F42" s="9" t="s">
        <v>40</v>
      </c>
      <c r="G42" s="10">
        <v>43266</v>
      </c>
      <c r="H42" s="4">
        <v>43272</v>
      </c>
      <c r="I42" s="30" t="s">
        <v>155</v>
      </c>
      <c r="J42" s="4" t="s">
        <v>156</v>
      </c>
      <c r="K42" s="5" t="s">
        <v>55</v>
      </c>
      <c r="L42" s="5" t="s">
        <v>157</v>
      </c>
      <c r="M42" s="5">
        <v>41</v>
      </c>
      <c r="N42" s="5">
        <v>2</v>
      </c>
      <c r="O42" s="5">
        <v>300</v>
      </c>
      <c r="P42" s="5">
        <v>197</v>
      </c>
      <c r="Q42" s="5">
        <v>3792272</v>
      </c>
      <c r="R42" s="5">
        <v>588959</v>
      </c>
      <c r="S42" s="27">
        <v>12640.906666666666</v>
      </c>
      <c r="T42" s="27">
        <v>1963.1966666666667</v>
      </c>
      <c r="U42" s="7">
        <v>0.15530505195829836</v>
      </c>
      <c r="V42" s="7">
        <v>4.4499833659980316E-2</v>
      </c>
      <c r="W42" s="8">
        <v>0.17361326309265571</v>
      </c>
      <c r="X42" s="24">
        <v>0.62984195847536406</v>
      </c>
      <c r="Y42" s="24">
        <v>0.81197706848466067</v>
      </c>
      <c r="Z42" s="24">
        <v>6.2364425162689807E-2</v>
      </c>
      <c r="AA42" s="24">
        <v>0.12565850635264952</v>
      </c>
      <c r="AB42" s="24">
        <v>1.4058848992697053</v>
      </c>
      <c r="AC42" s="24">
        <v>1.2896485436081741E-2</v>
      </c>
      <c r="AD42" s="6" t="s">
        <v>57</v>
      </c>
      <c r="AE42" s="6" t="s">
        <v>41</v>
      </c>
      <c r="AF42" t="s">
        <v>158</v>
      </c>
      <c r="AG42" t="s">
        <v>159</v>
      </c>
      <c r="AH42" t="s">
        <v>42</v>
      </c>
    </row>
    <row r="43" spans="1:34" x14ac:dyDescent="0.25">
      <c r="A43" s="1" t="s">
        <v>495</v>
      </c>
      <c r="B43" s="1" t="str">
        <f>SUBSTITUTE(ListingTable[[#This Row],[Program]],".zip","_case.pptx")</f>
        <v>FSC18109_980140786_20190104_12_case.pptx</v>
      </c>
      <c r="C43" s="83" t="s">
        <v>762</v>
      </c>
      <c r="D43" s="78"/>
      <c r="E43" s="78"/>
      <c r="F43" s="2" t="s">
        <v>40</v>
      </c>
      <c r="G43" s="3">
        <v>43469</v>
      </c>
      <c r="H43" s="4">
        <v>43475</v>
      </c>
      <c r="I43" s="30" t="s">
        <v>496</v>
      </c>
      <c r="J43" s="4" t="s">
        <v>188</v>
      </c>
      <c r="K43" s="5" t="s">
        <v>34</v>
      </c>
      <c r="L43" s="5" t="s">
        <v>189</v>
      </c>
      <c r="M43" s="5">
        <v>54</v>
      </c>
      <c r="N43" s="5">
        <v>1</v>
      </c>
      <c r="O43" s="5">
        <v>300</v>
      </c>
      <c r="P43" s="5">
        <v>286</v>
      </c>
      <c r="Q43" s="5">
        <v>3758720</v>
      </c>
      <c r="R43" s="5">
        <v>293361</v>
      </c>
      <c r="S43" s="27">
        <v>12529.066666666668</v>
      </c>
      <c r="T43" s="27">
        <v>977.87</v>
      </c>
      <c r="U43" s="7">
        <v>7.8048112123276003E-2</v>
      </c>
      <c r="V43" s="7">
        <v>1.0574571282490638E-2</v>
      </c>
      <c r="W43" s="8">
        <v>0.17347272133289773</v>
      </c>
      <c r="X43" s="24">
        <v>0.67396275726886634</v>
      </c>
      <c r="Y43" s="24">
        <v>0.53773276706958506</v>
      </c>
      <c r="Z43" s="24">
        <v>0.19046063377981051</v>
      </c>
      <c r="AA43" s="24">
        <v>0.2718065991506044</v>
      </c>
      <c r="AB43" s="24">
        <v>1.3609247637112509</v>
      </c>
      <c r="AC43" s="24">
        <v>0.75642030096682811</v>
      </c>
      <c r="AD43" s="6" t="s">
        <v>36</v>
      </c>
      <c r="AE43" s="6" t="s">
        <v>41</v>
      </c>
      <c r="AF43" t="s">
        <v>483</v>
      </c>
      <c r="AG43" t="s">
        <v>484</v>
      </c>
      <c r="AH43" t="s">
        <v>34</v>
      </c>
    </row>
    <row r="44" spans="1:34" x14ac:dyDescent="0.25">
      <c r="A44" s="1" t="s">
        <v>616</v>
      </c>
      <c r="B44" s="29" t="str">
        <f>SUBSTITUTE(ListingTable[[#This Row],[Program]],".zip","_case.pptx")</f>
        <v>FSC19014_724211_20190405_12_case.pptx</v>
      </c>
      <c r="C44" s="84" t="s">
        <v>763</v>
      </c>
      <c r="D44" s="78"/>
      <c r="E44" s="78"/>
      <c r="F44" s="2" t="s">
        <v>40</v>
      </c>
      <c r="G44" s="3">
        <v>43560</v>
      </c>
      <c r="H44" s="4">
        <v>43566</v>
      </c>
      <c r="I44" s="30">
        <v>724211</v>
      </c>
      <c r="J44" s="4" t="s">
        <v>120</v>
      </c>
      <c r="K44" s="5" t="s">
        <v>93</v>
      </c>
      <c r="L44" s="5" t="s">
        <v>121</v>
      </c>
      <c r="M44" s="5">
        <v>13</v>
      </c>
      <c r="N44" s="5">
        <v>90</v>
      </c>
      <c r="O44" s="5">
        <v>210</v>
      </c>
      <c r="P44" s="5">
        <v>368</v>
      </c>
      <c r="Q44" s="5">
        <v>2502778</v>
      </c>
      <c r="R44" s="5">
        <v>71225</v>
      </c>
      <c r="S44" s="27">
        <v>11917.990476190476</v>
      </c>
      <c r="T44" s="27">
        <v>339.16666666666669</v>
      </c>
      <c r="U44" s="7">
        <v>2.8000000000000001E-2</v>
      </c>
      <c r="V44" s="7">
        <v>7.2999999999999995E-2</v>
      </c>
      <c r="W44" s="8">
        <v>0.17299999999999999</v>
      </c>
      <c r="X44" s="24">
        <v>0.64900000000000002</v>
      </c>
      <c r="Y44" s="24">
        <v>0.38</v>
      </c>
      <c r="Z44" s="24">
        <v>0.24</v>
      </c>
      <c r="AA44" s="24">
        <v>0.38</v>
      </c>
      <c r="AB44" s="24">
        <v>0.05</v>
      </c>
      <c r="AC44" s="24">
        <v>-0.18</v>
      </c>
      <c r="AD44" s="6" t="s">
        <v>36</v>
      </c>
      <c r="AE44" s="6" t="s">
        <v>37</v>
      </c>
      <c r="AF44" t="s">
        <v>647</v>
      </c>
      <c r="AG44" t="str">
        <f>+_xlfn.CONCAT(ListingTable[[#This Row],[Program2]],ListingTable[[#This Row],[Start date]])</f>
        <v>FSC1901443560</v>
      </c>
      <c r="AH44" t="s">
        <v>48</v>
      </c>
    </row>
    <row r="45" spans="1:34" ht="30" x14ac:dyDescent="0.25">
      <c r="A45" t="s">
        <v>434</v>
      </c>
      <c r="B45" t="str">
        <f>SUBSTITUTE(ListingTable[[#This Row],[Program]],".zip","_case.pptx")</f>
        <v>FSC18063_40783_20190308_12_case.pptx</v>
      </c>
      <c r="C45" s="82" t="s">
        <v>764</v>
      </c>
      <c r="D45" s="79" t="s">
        <v>712</v>
      </c>
      <c r="E45" s="79" t="s">
        <v>713</v>
      </c>
      <c r="F45" s="9" t="s">
        <v>40</v>
      </c>
      <c r="G45" s="10">
        <v>43532</v>
      </c>
      <c r="H45" s="4">
        <v>43538</v>
      </c>
      <c r="I45" s="30" t="s">
        <v>435</v>
      </c>
      <c r="J45" s="4" t="s">
        <v>436</v>
      </c>
      <c r="K45" s="5" t="s">
        <v>34</v>
      </c>
      <c r="L45" s="5" t="s">
        <v>289</v>
      </c>
      <c r="M45" s="5">
        <v>54</v>
      </c>
      <c r="N45" s="5">
        <v>30</v>
      </c>
      <c r="O45" s="5">
        <v>140</v>
      </c>
      <c r="P45" s="5">
        <v>445</v>
      </c>
      <c r="Q45" s="5">
        <v>1642237</v>
      </c>
      <c r="R45" s="5">
        <v>114950</v>
      </c>
      <c r="S45" s="27">
        <v>11730.264285714286</v>
      </c>
      <c r="T45" s="27">
        <v>821.07142857142856</v>
      </c>
      <c r="U45" s="7">
        <v>6.9995987180900193E-2</v>
      </c>
      <c r="V45" s="7">
        <v>1.934519862426284E-2</v>
      </c>
      <c r="W45" s="8">
        <v>0.17276051188299818</v>
      </c>
      <c r="X45" s="24">
        <v>0.65859232175502747</v>
      </c>
      <c r="Y45" s="24">
        <v>0.71663619744058504</v>
      </c>
      <c r="Z45" s="24">
        <v>0.10831809872029251</v>
      </c>
      <c r="AA45" s="24">
        <v>0.17504570383912249</v>
      </c>
      <c r="AB45" s="24">
        <v>1.7302449392377603</v>
      </c>
      <c r="AC45" s="24">
        <v>3.1298304960832461E-2</v>
      </c>
      <c r="AD45" s="6" t="s">
        <v>57</v>
      </c>
      <c r="AE45" s="6" t="s">
        <v>41</v>
      </c>
      <c r="AF45" t="s">
        <v>437</v>
      </c>
      <c r="AG45" t="s">
        <v>438</v>
      </c>
      <c r="AH45" t="s">
        <v>34</v>
      </c>
    </row>
    <row r="46" spans="1:34" x14ac:dyDescent="0.25">
      <c r="A46" s="1" t="s">
        <v>613</v>
      </c>
      <c r="B46" s="29" t="str">
        <f>SUBSTITUTE(ListingTable[[#This Row],[Program]],".zip","_case.pptx")</f>
        <v>FSC19005_980113648_20190503_12_case.pptx</v>
      </c>
      <c r="C46" s="84" t="s">
        <v>765</v>
      </c>
      <c r="D46" s="78"/>
      <c r="E46" s="78"/>
      <c r="F46" s="2" t="s">
        <v>40</v>
      </c>
      <c r="G46" s="3">
        <v>43588</v>
      </c>
      <c r="H46" s="4">
        <v>43594</v>
      </c>
      <c r="I46" s="30">
        <v>980113648</v>
      </c>
      <c r="J46" s="4" t="s">
        <v>631</v>
      </c>
      <c r="K46" s="5" t="s">
        <v>93</v>
      </c>
      <c r="L46" s="5" t="s">
        <v>297</v>
      </c>
      <c r="M46" s="5">
        <v>13</v>
      </c>
      <c r="N46" s="5">
        <v>1</v>
      </c>
      <c r="O46" s="5">
        <v>589</v>
      </c>
      <c r="P46" s="5">
        <v>0</v>
      </c>
      <c r="Q46" s="5">
        <v>7167659</v>
      </c>
      <c r="R46" s="5">
        <v>896387</v>
      </c>
      <c r="S46" s="27">
        <v>12169.200339558574</v>
      </c>
      <c r="T46" s="27">
        <v>1521.8794567062819</v>
      </c>
      <c r="U46" s="7">
        <v>0.125</v>
      </c>
      <c r="V46" s="7">
        <v>3.3000000000000002E-2</v>
      </c>
      <c r="W46" s="8">
        <v>0.17</v>
      </c>
      <c r="X46" s="24">
        <v>0.35499999999999998</v>
      </c>
      <c r="Y46" s="24">
        <v>0.42</v>
      </c>
      <c r="Z46" s="24">
        <v>0.27</v>
      </c>
      <c r="AA46" s="24">
        <v>0.31</v>
      </c>
      <c r="AB46" s="24">
        <v>1.04</v>
      </c>
      <c r="AC46" s="24"/>
      <c r="AD46" s="6" t="s">
        <v>57</v>
      </c>
      <c r="AE46" s="6" t="s">
        <v>41</v>
      </c>
      <c r="AF46" t="s">
        <v>645</v>
      </c>
      <c r="AG46" t="str">
        <f>+_xlfn.CONCAT(ListingTable[[#This Row],[Program2]],ListingTable[[#This Row],[Start date]])</f>
        <v>FSC1900543588</v>
      </c>
      <c r="AH46" t="s">
        <v>48</v>
      </c>
    </row>
    <row r="47" spans="1:34" x14ac:dyDescent="0.25">
      <c r="A47" s="1" t="s">
        <v>617</v>
      </c>
      <c r="B47" s="29" t="str">
        <f>SUBSTITUTE(ListingTable[[#This Row],[Program]],".zip","_case.pptx")</f>
        <v>FSC19014_980003636_20190405_12_case.pptx</v>
      </c>
      <c r="C47" s="84" t="s">
        <v>766</v>
      </c>
      <c r="D47" s="78"/>
      <c r="E47" s="78"/>
      <c r="F47" s="2" t="s">
        <v>40</v>
      </c>
      <c r="G47" s="3">
        <v>43560</v>
      </c>
      <c r="H47" s="4">
        <v>43566</v>
      </c>
      <c r="I47" s="30">
        <v>980003636</v>
      </c>
      <c r="J47" s="4" t="s">
        <v>249</v>
      </c>
      <c r="K47" s="5" t="s">
        <v>93</v>
      </c>
      <c r="L47" s="5" t="s">
        <v>121</v>
      </c>
      <c r="M47" s="5">
        <v>13</v>
      </c>
      <c r="N47" s="5">
        <v>90</v>
      </c>
      <c r="O47" s="5">
        <v>210</v>
      </c>
      <c r="P47" s="5">
        <v>376</v>
      </c>
      <c r="Q47" s="5">
        <v>2502778</v>
      </c>
      <c r="R47" s="5">
        <v>71225</v>
      </c>
      <c r="S47" s="27">
        <v>11917.990476190476</v>
      </c>
      <c r="T47" s="27">
        <v>339.16666666666669</v>
      </c>
      <c r="U47" s="7">
        <v>2.8000000000000001E-2</v>
      </c>
      <c r="V47" s="7">
        <v>5.1999999999999998E-2</v>
      </c>
      <c r="W47" s="8">
        <v>0.16900000000000001</v>
      </c>
      <c r="X47" s="24">
        <v>0.67</v>
      </c>
      <c r="Y47" s="24">
        <v>0.38</v>
      </c>
      <c r="Z47" s="24">
        <v>0.25</v>
      </c>
      <c r="AA47" s="24">
        <v>0.36</v>
      </c>
      <c r="AB47" s="24">
        <v>0.05</v>
      </c>
      <c r="AC47" s="24">
        <v>-0.19</v>
      </c>
      <c r="AD47" s="6" t="s">
        <v>36</v>
      </c>
      <c r="AE47" s="6" t="s">
        <v>37</v>
      </c>
      <c r="AF47" t="s">
        <v>647</v>
      </c>
      <c r="AG47" t="str">
        <f>+_xlfn.CONCAT(ListingTable[[#This Row],[Program2]],ListingTable[[#This Row],[Start date]])</f>
        <v>FSC1901443560</v>
      </c>
      <c r="AH47" t="s">
        <v>48</v>
      </c>
    </row>
    <row r="48" spans="1:34" x14ac:dyDescent="0.25">
      <c r="A48" s="1" t="s">
        <v>247</v>
      </c>
      <c r="B48" s="1" t="str">
        <f>SUBSTITUTE(ListingTable[[#This Row],[Program]],".zip","_case.pptx")</f>
        <v>FSC18121_980003636_20190111_12_case.pptx</v>
      </c>
      <c r="C48" s="83" t="s">
        <v>767</v>
      </c>
      <c r="D48" s="78"/>
      <c r="E48" s="78"/>
      <c r="F48" s="2" t="s">
        <v>40</v>
      </c>
      <c r="G48" s="3">
        <v>43476</v>
      </c>
      <c r="H48" s="4">
        <v>43482</v>
      </c>
      <c r="I48" s="30" t="s">
        <v>248</v>
      </c>
      <c r="J48" s="4" t="s">
        <v>249</v>
      </c>
      <c r="K48" s="5" t="s">
        <v>93</v>
      </c>
      <c r="L48" s="5" t="s">
        <v>121</v>
      </c>
      <c r="M48" s="5">
        <v>13</v>
      </c>
      <c r="N48" s="5">
        <v>90</v>
      </c>
      <c r="O48" s="5">
        <v>183</v>
      </c>
      <c r="P48" s="5">
        <v>404</v>
      </c>
      <c r="Q48" s="5">
        <v>1838843</v>
      </c>
      <c r="R48" s="5">
        <v>59950</v>
      </c>
      <c r="S48" s="27">
        <v>10048.322404371585</v>
      </c>
      <c r="T48" s="27">
        <v>327.59562841530055</v>
      </c>
      <c r="U48" s="7">
        <v>3.2602022032332284E-2</v>
      </c>
      <c r="V48" s="7">
        <v>3.7353005135410913E-2</v>
      </c>
      <c r="W48" s="8">
        <v>0.16748768472906403</v>
      </c>
      <c r="X48" s="24">
        <v>0.58441558441558439</v>
      </c>
      <c r="Y48" s="24">
        <v>0.34124496193461712</v>
      </c>
      <c r="Z48" s="24">
        <v>0.29870129870129869</v>
      </c>
      <c r="AA48" s="24">
        <v>0.36005373936408419</v>
      </c>
      <c r="AB48" s="24">
        <v>0.28345798957094109</v>
      </c>
      <c r="AC48" s="24">
        <v>0.12940624440814719</v>
      </c>
      <c r="AD48" s="6" t="s">
        <v>36</v>
      </c>
      <c r="AE48" s="6" t="s">
        <v>37</v>
      </c>
      <c r="AF48" t="s">
        <v>239</v>
      </c>
      <c r="AG48" t="s">
        <v>240</v>
      </c>
      <c r="AH48" t="s">
        <v>48</v>
      </c>
    </row>
    <row r="49" spans="1:34" x14ac:dyDescent="0.25">
      <c r="A49" s="1" t="s">
        <v>466</v>
      </c>
      <c r="B49" s="1" t="str">
        <f>SUBSTITUTE(ListingTable[[#This Row],[Program]],".zip","_case.pptx")</f>
        <v>FSC18055_980074723_20190308_12_case.pptx</v>
      </c>
      <c r="C49" s="83" t="s">
        <v>768</v>
      </c>
      <c r="D49" s="78"/>
      <c r="E49" s="78"/>
      <c r="F49" s="2" t="s">
        <v>40</v>
      </c>
      <c r="G49" s="3">
        <v>43532</v>
      </c>
      <c r="H49" s="4">
        <v>43538</v>
      </c>
      <c r="I49" s="30" t="s">
        <v>417</v>
      </c>
      <c r="J49" s="4" t="s">
        <v>418</v>
      </c>
      <c r="K49" s="5" t="s">
        <v>69</v>
      </c>
      <c r="L49" s="5" t="s">
        <v>419</v>
      </c>
      <c r="M49" s="5">
        <v>78</v>
      </c>
      <c r="N49" s="5">
        <v>20</v>
      </c>
      <c r="O49" s="5">
        <v>154</v>
      </c>
      <c r="P49" s="5">
        <v>433</v>
      </c>
      <c r="Q49" s="5">
        <v>1867062</v>
      </c>
      <c r="R49" s="5">
        <v>182570</v>
      </c>
      <c r="S49" s="27">
        <v>12123.779220779221</v>
      </c>
      <c r="T49" s="27">
        <v>1185.5194805194806</v>
      </c>
      <c r="U49" s="7">
        <v>9.7784647751386941E-2</v>
      </c>
      <c r="V49" s="7">
        <v>5.7206846019852355E-2</v>
      </c>
      <c r="W49" s="8">
        <v>0.16713388110198163</v>
      </c>
      <c r="X49" s="24">
        <v>0.60386660222329624</v>
      </c>
      <c r="Y49" s="24">
        <v>0.71454809086515225</v>
      </c>
      <c r="Z49" s="24">
        <v>9.8985016916384727E-2</v>
      </c>
      <c r="AA49" s="24">
        <v>0.18646689221846302</v>
      </c>
      <c r="AB49" s="24">
        <v>0.59185302389401351</v>
      </c>
      <c r="AC49" s="24">
        <v>9.6292109023371295E-3</v>
      </c>
      <c r="AD49" s="6" t="s">
        <v>57</v>
      </c>
      <c r="AE49" s="6" t="s">
        <v>465</v>
      </c>
      <c r="AF49" t="s">
        <v>420</v>
      </c>
      <c r="AG49" t="s">
        <v>467</v>
      </c>
      <c r="AH49" t="s">
        <v>42</v>
      </c>
    </row>
    <row r="50" spans="1:34" x14ac:dyDescent="0.25">
      <c r="A50" t="s">
        <v>339</v>
      </c>
      <c r="B50" t="str">
        <f>SUBSTITUTE(ListingTable[[#This Row],[Program]],".zip","_case.pptx")</f>
        <v>FSC19012_787157_20190322_12_case.pptx</v>
      </c>
      <c r="C50" s="82" t="s">
        <v>769</v>
      </c>
      <c r="D50" s="79"/>
      <c r="E50" s="79"/>
      <c r="F50" s="2" t="s">
        <v>40</v>
      </c>
      <c r="G50" s="3">
        <v>43546</v>
      </c>
      <c r="H50" s="4">
        <v>43552</v>
      </c>
      <c r="I50" s="30" t="s">
        <v>340</v>
      </c>
      <c r="J50" s="4" t="s">
        <v>341</v>
      </c>
      <c r="K50" s="5" t="s">
        <v>342</v>
      </c>
      <c r="L50" s="5" t="s">
        <v>343</v>
      </c>
      <c r="M50" s="5">
        <v>96</v>
      </c>
      <c r="N50" s="5">
        <v>19</v>
      </c>
      <c r="O50" s="5">
        <v>394</v>
      </c>
      <c r="P50" s="5">
        <v>142</v>
      </c>
      <c r="Q50" s="5">
        <v>4528541</v>
      </c>
      <c r="R50" s="5">
        <v>279674</v>
      </c>
      <c r="S50" s="27">
        <v>11493.758883248731</v>
      </c>
      <c r="T50" s="27">
        <v>709.83248730964465</v>
      </c>
      <c r="U50" s="7">
        <v>6.1758080582686566E-2</v>
      </c>
      <c r="V50" s="7">
        <v>5.1165496927160986E-3</v>
      </c>
      <c r="W50" s="8">
        <v>0.1656005685856432</v>
      </c>
      <c r="X50" s="24">
        <v>0.44349680170575695</v>
      </c>
      <c r="Y50" s="24">
        <v>0.72565742714996451</v>
      </c>
      <c r="Z50" s="24">
        <v>7.818052594171997E-3</v>
      </c>
      <c r="AA50" s="24">
        <v>0.26652452025586354</v>
      </c>
      <c r="AB50" s="24">
        <v>0.14291909900702718</v>
      </c>
      <c r="AC50" s="24">
        <v>-2.7587049944808231E-2</v>
      </c>
      <c r="AD50" s="6" t="s">
        <v>147</v>
      </c>
      <c r="AE50" s="6" t="s">
        <v>344</v>
      </c>
      <c r="AF50" t="s">
        <v>345</v>
      </c>
      <c r="AG50" t="s">
        <v>346</v>
      </c>
      <c r="AH50" t="s">
        <v>42</v>
      </c>
    </row>
    <row r="51" spans="1:34" x14ac:dyDescent="0.25">
      <c r="A51" s="1" t="s">
        <v>575</v>
      </c>
      <c r="B51" s="1" t="str">
        <f>SUBSTITUTE(ListingTable[[#This Row],[Program]],".zip","_case.pptx")</f>
        <v>FSC18122_555508_20190125_12_case.pptx</v>
      </c>
      <c r="C51" s="83" t="s">
        <v>770</v>
      </c>
      <c r="D51" s="78"/>
      <c r="E51" s="78"/>
      <c r="F51" s="2" t="s">
        <v>40</v>
      </c>
      <c r="G51" s="3">
        <v>43490</v>
      </c>
      <c r="H51" s="4">
        <v>43496</v>
      </c>
      <c r="I51" s="30" t="s">
        <v>513</v>
      </c>
      <c r="J51" s="4" t="s">
        <v>514</v>
      </c>
      <c r="K51" s="5" t="s">
        <v>93</v>
      </c>
      <c r="L51" s="5" t="s">
        <v>515</v>
      </c>
      <c r="M51" s="5">
        <v>13</v>
      </c>
      <c r="N51" s="5">
        <v>32</v>
      </c>
      <c r="O51" s="5">
        <v>95</v>
      </c>
      <c r="P51" s="5">
        <v>5</v>
      </c>
      <c r="Q51" s="5">
        <v>1148637</v>
      </c>
      <c r="R51" s="5">
        <v>99238</v>
      </c>
      <c r="S51" s="27">
        <v>12090.915789473684</v>
      </c>
      <c r="T51" s="27">
        <v>1044.6105263157895</v>
      </c>
      <c r="U51" s="7">
        <v>8.6396311454358513E-2</v>
      </c>
      <c r="V51" s="7">
        <v>2.0278951209233963E-2</v>
      </c>
      <c r="W51" s="8">
        <v>0.16117587430309174</v>
      </c>
      <c r="X51" s="24">
        <v>0.43689812468322353</v>
      </c>
      <c r="Y51" s="24">
        <v>0.4804865686771414</v>
      </c>
      <c r="Z51" s="24">
        <v>0.24277749619868222</v>
      </c>
      <c r="AA51" s="24">
        <v>0.27673593512417638</v>
      </c>
      <c r="AB51" s="24">
        <v>0.25367367235343508</v>
      </c>
      <c r="AC51" s="24">
        <v>5.0847457627118765E-2</v>
      </c>
      <c r="AD51" s="6" t="s">
        <v>57</v>
      </c>
      <c r="AE51" s="6" t="s">
        <v>571</v>
      </c>
      <c r="AF51" t="s">
        <v>572</v>
      </c>
      <c r="AG51" t="s">
        <v>573</v>
      </c>
      <c r="AH51" t="s">
        <v>48</v>
      </c>
    </row>
    <row r="52" spans="1:34" x14ac:dyDescent="0.25">
      <c r="A52" s="1" t="s">
        <v>512</v>
      </c>
      <c r="B52" s="1" t="str">
        <f>SUBSTITUTE(ListingTable[[#This Row],[Program]],".zip","_case.pptx")</f>
        <v>FSC18034_555508_20180601_12_case.pptx</v>
      </c>
      <c r="C52" s="83" t="s">
        <v>771</v>
      </c>
      <c r="D52" s="78"/>
      <c r="E52" s="78"/>
      <c r="F52" s="2" t="s">
        <v>40</v>
      </c>
      <c r="G52" s="3">
        <v>43252</v>
      </c>
      <c r="H52" s="4">
        <v>43258</v>
      </c>
      <c r="I52" s="30" t="s">
        <v>513</v>
      </c>
      <c r="J52" s="4" t="s">
        <v>514</v>
      </c>
      <c r="K52" s="5" t="s">
        <v>93</v>
      </c>
      <c r="L52" s="5" t="s">
        <v>515</v>
      </c>
      <c r="M52" s="5">
        <v>13</v>
      </c>
      <c r="N52" s="5">
        <v>32</v>
      </c>
      <c r="O52" s="5">
        <v>90</v>
      </c>
      <c r="P52" s="5">
        <v>10</v>
      </c>
      <c r="Q52" s="5">
        <v>1203574</v>
      </c>
      <c r="R52" s="5">
        <v>112446</v>
      </c>
      <c r="S52" s="27">
        <v>13373.044444444444</v>
      </c>
      <c r="T52" s="27">
        <v>1249.4000000000001</v>
      </c>
      <c r="U52" s="7">
        <v>9.3426744014078064E-2</v>
      </c>
      <c r="V52" s="7">
        <v>2.8472751006200371E-2</v>
      </c>
      <c r="W52" s="8">
        <v>0.16045845272206305</v>
      </c>
      <c r="X52" s="24">
        <v>0.44539955428207578</v>
      </c>
      <c r="Y52" s="24">
        <v>0.50811843361986631</v>
      </c>
      <c r="Z52" s="24">
        <v>0.25724291626870421</v>
      </c>
      <c r="AA52" s="24">
        <v>0.23463865011142948</v>
      </c>
      <c r="AB52" s="24">
        <v>0.41606029607750306</v>
      </c>
      <c r="AC52" s="24">
        <v>0.11608093716719936</v>
      </c>
      <c r="AD52" s="6" t="s">
        <v>57</v>
      </c>
      <c r="AE52" s="6" t="s">
        <v>71</v>
      </c>
      <c r="AF52" t="s">
        <v>516</v>
      </c>
      <c r="AG52" t="s">
        <v>517</v>
      </c>
      <c r="AH52" t="s">
        <v>48</v>
      </c>
    </row>
    <row r="53" spans="1:34" x14ac:dyDescent="0.25">
      <c r="A53" s="1" t="s">
        <v>583</v>
      </c>
      <c r="B53" s="1" t="str">
        <f>SUBSTITUTE(ListingTable[[#This Row],[Program]],".zip","_case.pptx")</f>
        <v>FSC18103_980074723_20181102_12_case.pptx</v>
      </c>
      <c r="C53" s="83" t="s">
        <v>772</v>
      </c>
      <c r="D53" s="78"/>
      <c r="E53" s="78"/>
      <c r="F53" s="2" t="s">
        <v>40</v>
      </c>
      <c r="G53" s="3">
        <v>43406</v>
      </c>
      <c r="H53" s="4">
        <v>43412</v>
      </c>
      <c r="I53" s="30" t="s">
        <v>417</v>
      </c>
      <c r="J53" s="4" t="s">
        <v>418</v>
      </c>
      <c r="K53" s="5" t="s">
        <v>69</v>
      </c>
      <c r="L53" s="5" t="s">
        <v>419</v>
      </c>
      <c r="M53" s="5">
        <v>78</v>
      </c>
      <c r="N53" s="5">
        <v>20</v>
      </c>
      <c r="O53" s="5">
        <v>172</v>
      </c>
      <c r="P53" s="5">
        <v>417</v>
      </c>
      <c r="Q53" s="5">
        <v>1956353</v>
      </c>
      <c r="R53" s="5">
        <v>171400</v>
      </c>
      <c r="S53" s="27">
        <v>11374.14534883721</v>
      </c>
      <c r="T53" s="27">
        <v>996.51162790697674</v>
      </c>
      <c r="U53" s="7">
        <v>8.7612000492753611E-2</v>
      </c>
      <c r="V53" s="7">
        <v>2.6743674689964525E-2</v>
      </c>
      <c r="W53" s="8">
        <v>0.15391361543521156</v>
      </c>
      <c r="X53" s="24">
        <v>0.39443104582328437</v>
      </c>
      <c r="Y53" s="24">
        <v>0.58013593510195127</v>
      </c>
      <c r="Z53" s="24">
        <v>9.6031572023679013E-2</v>
      </c>
      <c r="AA53" s="24">
        <v>0.32383249287436966</v>
      </c>
      <c r="AB53" s="24">
        <v>-8.397318584527097E-2</v>
      </c>
      <c r="AC53" s="24">
        <v>7.0133621636664922E-2</v>
      </c>
      <c r="AD53" s="6" t="s">
        <v>36</v>
      </c>
      <c r="AE53" s="6" t="s">
        <v>37</v>
      </c>
      <c r="AF53" t="s">
        <v>584</v>
      </c>
      <c r="AG53" t="s">
        <v>585</v>
      </c>
      <c r="AH53" t="s">
        <v>42</v>
      </c>
    </row>
    <row r="54" spans="1:34" x14ac:dyDescent="0.25">
      <c r="A54" s="1" t="s">
        <v>66</v>
      </c>
      <c r="B54" s="1" t="str">
        <f>SUBSTITUTE(ListingTable[[#This Row],[Program]],".zip","_case.pptx")</f>
        <v>FSC18098_980114984_20181102_12_case.pptx</v>
      </c>
      <c r="C54" s="83" t="s">
        <v>773</v>
      </c>
      <c r="D54" s="78"/>
      <c r="E54" s="78"/>
      <c r="F54" s="2" t="s">
        <v>40</v>
      </c>
      <c r="G54" s="3">
        <v>43406</v>
      </c>
      <c r="H54" s="4">
        <v>43412</v>
      </c>
      <c r="I54" s="30" t="s">
        <v>67</v>
      </c>
      <c r="J54" s="4" t="s">
        <v>68</v>
      </c>
      <c r="K54" s="5" t="s">
        <v>69</v>
      </c>
      <c r="L54" s="5" t="s">
        <v>70</v>
      </c>
      <c r="M54" s="5">
        <v>78</v>
      </c>
      <c r="N54" s="5">
        <v>1</v>
      </c>
      <c r="O54" s="5">
        <v>14</v>
      </c>
      <c r="P54" s="5">
        <v>299</v>
      </c>
      <c r="Q54" s="5">
        <v>156618</v>
      </c>
      <c r="R54" s="5">
        <v>26312</v>
      </c>
      <c r="S54" s="27">
        <v>11187</v>
      </c>
      <c r="T54" s="27">
        <v>1879.4285714285713</v>
      </c>
      <c r="U54" s="7">
        <v>0.16800112375333615</v>
      </c>
      <c r="V54" s="7">
        <v>1.8105101649405448E-2</v>
      </c>
      <c r="W54" s="8">
        <v>0.15042372881355931</v>
      </c>
      <c r="X54" s="24">
        <v>0.61440677966101698</v>
      </c>
      <c r="Y54" s="24">
        <v>0.61652542372881358</v>
      </c>
      <c r="Z54" s="24">
        <v>0.23940677966101695</v>
      </c>
      <c r="AA54" s="24">
        <v>0.1440677966101695</v>
      </c>
      <c r="AB54" s="24">
        <v>1.3264363797359149</v>
      </c>
      <c r="AC54" s="24">
        <v>-7.4552732146290546E-2</v>
      </c>
      <c r="AD54" s="6" t="s">
        <v>57</v>
      </c>
      <c r="AE54" s="6" t="s">
        <v>71</v>
      </c>
      <c r="AF54" t="s">
        <v>72</v>
      </c>
      <c r="AG54" t="s">
        <v>73</v>
      </c>
      <c r="AH54" t="s">
        <v>42</v>
      </c>
    </row>
    <row r="55" spans="1:34" x14ac:dyDescent="0.25">
      <c r="A55" s="1" t="s">
        <v>547</v>
      </c>
      <c r="B55" s="1" t="str">
        <f>SUBSTITUTE(ListingTable[[#This Row],[Program]],".zip","_case.pptx")</f>
        <v>FSC18055_980074723_20181102_12_case.pptx</v>
      </c>
      <c r="C55" s="83" t="s">
        <v>774</v>
      </c>
      <c r="D55" s="78"/>
      <c r="E55" s="78"/>
      <c r="F55" s="2" t="s">
        <v>40</v>
      </c>
      <c r="G55" s="3">
        <v>43406</v>
      </c>
      <c r="H55" s="4">
        <v>43412</v>
      </c>
      <c r="I55" s="30" t="s">
        <v>417</v>
      </c>
      <c r="J55" s="4" t="s">
        <v>418</v>
      </c>
      <c r="K55" s="5" t="s">
        <v>69</v>
      </c>
      <c r="L55" s="5" t="s">
        <v>419</v>
      </c>
      <c r="M55" s="5">
        <v>78</v>
      </c>
      <c r="N55" s="5">
        <v>20</v>
      </c>
      <c r="O55" s="5">
        <v>303</v>
      </c>
      <c r="P55" s="5">
        <v>286</v>
      </c>
      <c r="Q55" s="5">
        <v>3585909</v>
      </c>
      <c r="R55" s="5">
        <v>331004</v>
      </c>
      <c r="S55" s="27">
        <v>11834.683168316831</v>
      </c>
      <c r="T55" s="27">
        <v>1092.4224422442244</v>
      </c>
      <c r="U55" s="7">
        <v>9.2306859990033213E-2</v>
      </c>
      <c r="V55" s="7">
        <v>4.3238991304454286E-2</v>
      </c>
      <c r="W55" s="8">
        <v>0.14525376937778722</v>
      </c>
      <c r="X55" s="24">
        <v>0.5815813690096977</v>
      </c>
      <c r="Y55" s="24">
        <v>0.69193742478941034</v>
      </c>
      <c r="Z55" s="24">
        <v>0.10037516811778863</v>
      </c>
      <c r="AA55" s="24">
        <v>0.20768740709280101</v>
      </c>
      <c r="AB55" s="24">
        <v>0.18392237557409299</v>
      </c>
      <c r="AC55" s="24">
        <v>-0.15970123348245738</v>
      </c>
      <c r="AD55" s="6" t="s">
        <v>57</v>
      </c>
      <c r="AE55" s="6" t="s">
        <v>465</v>
      </c>
      <c r="AF55" t="s">
        <v>420</v>
      </c>
      <c r="AG55" t="s">
        <v>548</v>
      </c>
      <c r="AH55" t="s">
        <v>42</v>
      </c>
    </row>
    <row r="56" spans="1:34" x14ac:dyDescent="0.25">
      <c r="A56" s="1" t="s">
        <v>497</v>
      </c>
      <c r="B56" s="1" t="str">
        <f>SUBSTITUTE(ListingTable[[#This Row],[Program]],".zip","_case.pptx")</f>
        <v>FSC18124_980176058_20190322_12_case.pptx</v>
      </c>
      <c r="C56" s="83" t="s">
        <v>775</v>
      </c>
      <c r="D56" s="78"/>
      <c r="E56" s="78"/>
      <c r="F56" s="2" t="s">
        <v>40</v>
      </c>
      <c r="G56" s="3">
        <v>43546</v>
      </c>
      <c r="H56" s="4">
        <v>43552</v>
      </c>
      <c r="I56" s="30" t="s">
        <v>498</v>
      </c>
      <c r="J56" s="4" t="s">
        <v>499</v>
      </c>
      <c r="K56" s="5" t="s">
        <v>55</v>
      </c>
      <c r="L56" s="5" t="s">
        <v>500</v>
      </c>
      <c r="M56" s="5">
        <v>41</v>
      </c>
      <c r="N56" s="5">
        <v>66</v>
      </c>
      <c r="O56" s="5">
        <v>195</v>
      </c>
      <c r="P56" s="5">
        <v>0</v>
      </c>
      <c r="Q56" s="5">
        <v>2277251</v>
      </c>
      <c r="R56" s="5">
        <v>212815</v>
      </c>
      <c r="S56" s="27">
        <v>11678.210256410257</v>
      </c>
      <c r="T56" s="27">
        <v>1091.3589743589744</v>
      </c>
      <c r="U56" s="7">
        <v>9.3452588230282921E-2</v>
      </c>
      <c r="V56" s="7">
        <v>1.1044660713177702E-2</v>
      </c>
      <c r="W56" s="8">
        <v>0.14520311149524634</v>
      </c>
      <c r="X56" s="24">
        <v>0.50388936905790838</v>
      </c>
      <c r="Y56" s="24">
        <v>0.58772687986171135</v>
      </c>
      <c r="Z56" s="24">
        <v>0.32152117545375974</v>
      </c>
      <c r="AA56" s="24">
        <v>9.0751944684528948E-2</v>
      </c>
      <c r="AB56" s="24">
        <v>0.14326005647791035</v>
      </c>
      <c r="AC56" s="24"/>
      <c r="AD56" s="6" t="s">
        <v>57</v>
      </c>
      <c r="AE56" s="6" t="s">
        <v>71</v>
      </c>
      <c r="AF56" t="s">
        <v>501</v>
      </c>
      <c r="AG56" t="s">
        <v>502</v>
      </c>
      <c r="AH56" t="s">
        <v>42</v>
      </c>
    </row>
    <row r="57" spans="1:34" x14ac:dyDescent="0.25">
      <c r="A57" s="1" t="s">
        <v>609</v>
      </c>
      <c r="B57" s="29" t="str">
        <f>SUBSTITUTE(ListingTable[[#This Row],[Program]],".zip","_case.pptx")</f>
        <v>FSC18130_980169089_20190412_12_case.pptx</v>
      </c>
      <c r="C57" s="84" t="s">
        <v>776</v>
      </c>
      <c r="D57" s="78"/>
      <c r="E57" s="78"/>
      <c r="F57" s="2" t="s">
        <v>40</v>
      </c>
      <c r="G57" s="3">
        <v>43567</v>
      </c>
      <c r="H57" s="4">
        <v>43573</v>
      </c>
      <c r="I57" s="30">
        <v>980169089</v>
      </c>
      <c r="J57" s="4" t="s">
        <v>627</v>
      </c>
      <c r="K57" s="5" t="s">
        <v>635</v>
      </c>
      <c r="L57" s="5" t="s">
        <v>638</v>
      </c>
      <c r="M57" s="5">
        <v>1</v>
      </c>
      <c r="N57" s="5">
        <v>2</v>
      </c>
      <c r="O57" s="5">
        <v>589</v>
      </c>
      <c r="P57" s="5">
        <v>0</v>
      </c>
      <c r="Q57" s="5">
        <v>7015725</v>
      </c>
      <c r="R57" s="5">
        <v>1192666</v>
      </c>
      <c r="S57" s="27">
        <v>11911.247877758913</v>
      </c>
      <c r="T57" s="27">
        <v>2024.8998302207131</v>
      </c>
      <c r="U57" s="7">
        <v>0.17</v>
      </c>
      <c r="V57" s="7">
        <v>1E-3</v>
      </c>
      <c r="W57" s="8">
        <v>0.14399999999999999</v>
      </c>
      <c r="X57" s="24">
        <v>0.309</v>
      </c>
      <c r="Y57" s="24">
        <v>0.42</v>
      </c>
      <c r="Z57" s="24">
        <v>0.22</v>
      </c>
      <c r="AA57" s="24">
        <v>0.36</v>
      </c>
      <c r="AB57" s="24">
        <v>0.17</v>
      </c>
      <c r="AC57" s="24"/>
      <c r="AD57" s="6" t="s">
        <v>36</v>
      </c>
      <c r="AE57" s="6" t="s">
        <v>41</v>
      </c>
      <c r="AF57" t="s">
        <v>643</v>
      </c>
      <c r="AG57" t="str">
        <f>+_xlfn.CONCAT(ListingTable[[#This Row],[Program2]],ListingTable[[#This Row],[Start date]])</f>
        <v>FSC1813043567</v>
      </c>
      <c r="AH57" t="s">
        <v>42</v>
      </c>
    </row>
    <row r="58" spans="1:34" x14ac:dyDescent="0.25">
      <c r="A58" s="1" t="s">
        <v>236</v>
      </c>
      <c r="B58" s="1" t="str">
        <f>SUBSTITUTE(ListingTable[[#This Row],[Program]],".zip","_case.pptx")</f>
        <v>FSC18121_491913_20190111_12_case.pptx</v>
      </c>
      <c r="C58" s="83" t="s">
        <v>777</v>
      </c>
      <c r="D58" s="78"/>
      <c r="E58" s="78"/>
      <c r="F58" s="2" t="s">
        <v>40</v>
      </c>
      <c r="G58" s="3">
        <v>43476</v>
      </c>
      <c r="H58" s="4">
        <v>43482</v>
      </c>
      <c r="I58" s="30" t="s">
        <v>237</v>
      </c>
      <c r="J58" s="4" t="s">
        <v>238</v>
      </c>
      <c r="K58" s="5" t="s">
        <v>93</v>
      </c>
      <c r="L58" s="5" t="s">
        <v>121</v>
      </c>
      <c r="M58" s="5">
        <v>13</v>
      </c>
      <c r="N58" s="5">
        <v>90</v>
      </c>
      <c r="O58" s="5">
        <v>183</v>
      </c>
      <c r="P58" s="5">
        <v>405</v>
      </c>
      <c r="Q58" s="5">
        <v>1838843</v>
      </c>
      <c r="R58" s="5">
        <v>59950</v>
      </c>
      <c r="S58" s="27">
        <v>10048.322404371585</v>
      </c>
      <c r="T58" s="27">
        <v>327.59562841530055</v>
      </c>
      <c r="U58" s="7">
        <v>3.2602022032332284E-2</v>
      </c>
      <c r="V58" s="7">
        <v>5.5335307204630237E-2</v>
      </c>
      <c r="W58" s="8">
        <v>0.14298669891172913</v>
      </c>
      <c r="X58" s="24">
        <v>0.45133010882708585</v>
      </c>
      <c r="Y58" s="24">
        <v>0.39087061668681983</v>
      </c>
      <c r="Z58" s="24">
        <v>0.38391777509068925</v>
      </c>
      <c r="AA58" s="24">
        <v>0.22521160822249092</v>
      </c>
      <c r="AB58" s="24">
        <v>0.57657470133290412</v>
      </c>
      <c r="AC58" s="24">
        <v>0.11571533036622972</v>
      </c>
      <c r="AD58" s="6" t="s">
        <v>36</v>
      </c>
      <c r="AE58" s="6" t="s">
        <v>37</v>
      </c>
      <c r="AF58" t="s">
        <v>239</v>
      </c>
      <c r="AG58" t="s">
        <v>240</v>
      </c>
      <c r="AH58" t="s">
        <v>48</v>
      </c>
    </row>
    <row r="59" spans="1:34" ht="30" x14ac:dyDescent="0.25">
      <c r="A59" s="1" t="s">
        <v>555</v>
      </c>
      <c r="B59" s="1" t="str">
        <f>SUBSTITUTE(ListingTable[[#This Row],[Program]],".zip","_case.pptx")</f>
        <v>FSC18115_980059393_20190201_12_case.pptx</v>
      </c>
      <c r="C59" s="83" t="s">
        <v>778</v>
      </c>
      <c r="D59" s="78"/>
      <c r="E59" s="78" t="s">
        <v>708</v>
      </c>
      <c r="F59" s="2" t="s">
        <v>40</v>
      </c>
      <c r="G59" s="3">
        <v>43497</v>
      </c>
      <c r="H59" s="4">
        <v>43503</v>
      </c>
      <c r="I59" s="30" t="s">
        <v>556</v>
      </c>
      <c r="J59" s="4" t="s">
        <v>557</v>
      </c>
      <c r="K59" s="5" t="s">
        <v>34</v>
      </c>
      <c r="L59" s="5" t="s">
        <v>558</v>
      </c>
      <c r="M59" s="5">
        <v>54</v>
      </c>
      <c r="N59" s="5">
        <v>13</v>
      </c>
      <c r="O59" s="5">
        <v>200</v>
      </c>
      <c r="P59" s="5">
        <v>305</v>
      </c>
      <c r="Q59" s="5">
        <v>2334535</v>
      </c>
      <c r="R59" s="5">
        <v>197317</v>
      </c>
      <c r="S59" s="27">
        <v>11672.674999999999</v>
      </c>
      <c r="T59" s="27">
        <v>986.58500000000004</v>
      </c>
      <c r="U59" s="7">
        <v>8.4520900307770069E-2</v>
      </c>
      <c r="V59" s="7">
        <v>4.305749200360863E-4</v>
      </c>
      <c r="W59" s="8">
        <v>0.14285714285714285</v>
      </c>
      <c r="X59" s="24">
        <v>0.52380952380952384</v>
      </c>
      <c r="Y59" s="24">
        <v>0.45238095238095238</v>
      </c>
      <c r="Z59" s="24">
        <v>0.23809523809523808</v>
      </c>
      <c r="AA59" s="24">
        <v>0.30952380952380953</v>
      </c>
      <c r="AB59" s="24">
        <v>-1.323265053167356E-2</v>
      </c>
      <c r="AC59" s="24">
        <v>-2.8121908417381297E-2</v>
      </c>
      <c r="AD59" s="6" t="s">
        <v>36</v>
      </c>
      <c r="AE59" s="6" t="s">
        <v>41</v>
      </c>
      <c r="AF59" t="s">
        <v>545</v>
      </c>
      <c r="AG59" t="s">
        <v>546</v>
      </c>
      <c r="AH59" t="s">
        <v>34</v>
      </c>
    </row>
    <row r="60" spans="1:34" x14ac:dyDescent="0.25">
      <c r="A60" s="1" t="s">
        <v>88</v>
      </c>
      <c r="B60" s="1" t="str">
        <f>SUBSTITUTE(ListingTable[[#This Row],[Program]],".zip","_case.pptx")</f>
        <v>FSC18093_944440_20181005_12_case.pptx</v>
      </c>
      <c r="C60" s="83" t="s">
        <v>779</v>
      </c>
      <c r="D60" s="78"/>
      <c r="E60" s="78"/>
      <c r="F60" s="2" t="s">
        <v>40</v>
      </c>
      <c r="G60" s="3">
        <v>43378</v>
      </c>
      <c r="H60" s="4">
        <v>43391</v>
      </c>
      <c r="I60" s="30" t="s">
        <v>89</v>
      </c>
      <c r="J60" s="4" t="s">
        <v>90</v>
      </c>
      <c r="K60" s="5" t="s">
        <v>77</v>
      </c>
      <c r="L60" s="5" t="s">
        <v>78</v>
      </c>
      <c r="M60" s="5">
        <v>2</v>
      </c>
      <c r="N60" s="5">
        <v>10</v>
      </c>
      <c r="O60" s="5">
        <v>152</v>
      </c>
      <c r="P60" s="5">
        <v>437</v>
      </c>
      <c r="Q60" s="5">
        <v>2734535</v>
      </c>
      <c r="R60" s="5">
        <v>41388</v>
      </c>
      <c r="S60" s="27">
        <v>17990.361842105263</v>
      </c>
      <c r="T60" s="27">
        <v>272.28947368421052</v>
      </c>
      <c r="U60" s="7">
        <v>1.5135297226036602E-2</v>
      </c>
      <c r="V60" s="7">
        <v>0.10450909090909091</v>
      </c>
      <c r="W60" s="8">
        <v>0.14126652748782184</v>
      </c>
      <c r="X60" s="24">
        <v>0.70842032011134304</v>
      </c>
      <c r="Y60" s="24">
        <v>0.58431918348411038</v>
      </c>
      <c r="Z60" s="24">
        <v>5.288796102992345E-2</v>
      </c>
      <c r="AA60" s="24">
        <v>0.36279285548596613</v>
      </c>
      <c r="AB60" s="24">
        <v>0.33371870470686277</v>
      </c>
      <c r="AC60" s="24">
        <v>5.3385915167483054E-2</v>
      </c>
      <c r="AD60" s="6" t="s">
        <v>36</v>
      </c>
      <c r="AE60" s="6" t="s">
        <v>37</v>
      </c>
      <c r="AF60" t="s">
        <v>79</v>
      </c>
      <c r="AG60" t="s">
        <v>80</v>
      </c>
      <c r="AH60" t="s">
        <v>48</v>
      </c>
    </row>
    <row r="61" spans="1:34" x14ac:dyDescent="0.25">
      <c r="A61" s="1" t="s">
        <v>102</v>
      </c>
      <c r="B61" s="1" t="str">
        <f>SUBSTITUTE(ListingTable[[#This Row],[Program]],".zip","_case.pptx")</f>
        <v>FSC18018_709743_20180525_12_case.pptx</v>
      </c>
      <c r="C61" s="83" t="s">
        <v>780</v>
      </c>
      <c r="D61" s="78"/>
      <c r="E61" s="78"/>
      <c r="F61" s="2" t="s">
        <v>40</v>
      </c>
      <c r="G61" s="3">
        <v>43245</v>
      </c>
      <c r="H61" s="4">
        <v>43251</v>
      </c>
      <c r="I61" s="30" t="s">
        <v>103</v>
      </c>
      <c r="J61" s="4" t="s">
        <v>104</v>
      </c>
      <c r="K61" s="5" t="s">
        <v>84</v>
      </c>
      <c r="L61" s="5" t="s">
        <v>105</v>
      </c>
      <c r="M61" s="5">
        <v>1</v>
      </c>
      <c r="N61" s="5">
        <v>18</v>
      </c>
      <c r="O61" s="5">
        <v>589</v>
      </c>
      <c r="P61" s="5">
        <v>0</v>
      </c>
      <c r="Q61" s="5">
        <v>6485174</v>
      </c>
      <c r="R61" s="5">
        <v>1036512</v>
      </c>
      <c r="S61" s="27">
        <v>11010.482173174873</v>
      </c>
      <c r="T61" s="27">
        <v>1759.7826825127333</v>
      </c>
      <c r="U61" s="7">
        <v>0.15982793985172949</v>
      </c>
      <c r="V61" s="7">
        <v>1.5002453144931803E-2</v>
      </c>
      <c r="W61" s="8">
        <v>0.14055857152200929</v>
      </c>
      <c r="X61" s="24">
        <v>0.51644973510366932</v>
      </c>
      <c r="Y61" s="24">
        <v>0.73615017332722876</v>
      </c>
      <c r="Z61" s="24">
        <v>6.5144875400614824E-2</v>
      </c>
      <c r="AA61" s="24">
        <v>0.19870495127215645</v>
      </c>
      <c r="AB61" s="24">
        <v>0.20697324047383753</v>
      </c>
      <c r="AC61" s="24"/>
      <c r="AD61" s="6" t="s">
        <v>57</v>
      </c>
      <c r="AE61" s="6" t="s">
        <v>41</v>
      </c>
      <c r="AF61" t="s">
        <v>106</v>
      </c>
      <c r="AG61" t="s">
        <v>107</v>
      </c>
      <c r="AH61" t="s">
        <v>42</v>
      </c>
    </row>
    <row r="62" spans="1:34" ht="45" x14ac:dyDescent="0.25">
      <c r="A62" s="1" t="s">
        <v>608</v>
      </c>
      <c r="B62" s="29" t="str">
        <f>SUBSTITUTE(ListingTable[[#This Row],[Program]],".zip","_case.pptx")</f>
        <v>FSC18130_980169088_20190412_12_case.pptx</v>
      </c>
      <c r="C62" s="84" t="s">
        <v>781</v>
      </c>
      <c r="D62" s="78" t="s">
        <v>701</v>
      </c>
      <c r="E62" s="78" t="s">
        <v>702</v>
      </c>
      <c r="F62" s="2" t="s">
        <v>40</v>
      </c>
      <c r="G62" s="3">
        <v>43567</v>
      </c>
      <c r="H62" s="4">
        <v>43573</v>
      </c>
      <c r="I62" s="30">
        <v>980169088</v>
      </c>
      <c r="J62" s="4" t="s">
        <v>627</v>
      </c>
      <c r="K62" s="5" t="s">
        <v>635</v>
      </c>
      <c r="L62" s="5" t="s">
        <v>637</v>
      </c>
      <c r="M62" s="5">
        <v>1</v>
      </c>
      <c r="N62" s="5">
        <v>1</v>
      </c>
      <c r="O62" s="5">
        <v>589</v>
      </c>
      <c r="P62" s="5">
        <v>0</v>
      </c>
      <c r="Q62" s="5">
        <v>7015725</v>
      </c>
      <c r="R62" s="5">
        <v>1192666</v>
      </c>
      <c r="S62" s="27">
        <v>11911.247877758913</v>
      </c>
      <c r="T62" s="27">
        <v>2024.8998302207131</v>
      </c>
      <c r="U62" s="7">
        <v>0.17</v>
      </c>
      <c r="V62" s="7">
        <v>5.0000000000000001E-3</v>
      </c>
      <c r="W62" s="8">
        <v>0.13800000000000001</v>
      </c>
      <c r="X62" s="24">
        <v>0.53700000000000003</v>
      </c>
      <c r="Y62" s="24">
        <v>0.48</v>
      </c>
      <c r="Z62" s="24">
        <v>0.27</v>
      </c>
      <c r="AA62" s="24">
        <v>0.26</v>
      </c>
      <c r="AB62" s="24">
        <v>0.42</v>
      </c>
      <c r="AC62" s="24"/>
      <c r="AD62" s="6" t="s">
        <v>57</v>
      </c>
      <c r="AE62" s="6" t="s">
        <v>41</v>
      </c>
      <c r="AF62" t="s">
        <v>643</v>
      </c>
      <c r="AG62" t="str">
        <f>+_xlfn.CONCAT(ListingTable[[#This Row],[Program2]],ListingTable[[#This Row],[Start date]])</f>
        <v>FSC1813043567</v>
      </c>
      <c r="AH62" t="s">
        <v>42</v>
      </c>
    </row>
    <row r="63" spans="1:34" x14ac:dyDescent="0.25">
      <c r="A63" s="1" t="s">
        <v>241</v>
      </c>
      <c r="B63" s="1" t="str">
        <f>SUBSTITUTE(ListingTable[[#This Row],[Program]],".zip","_case.pptx")</f>
        <v>FSC18098_980114984_20190111_12_case.pptx</v>
      </c>
      <c r="C63" s="83" t="s">
        <v>782</v>
      </c>
      <c r="D63" s="78"/>
      <c r="E63" s="78"/>
      <c r="F63" s="2" t="s">
        <v>40</v>
      </c>
      <c r="G63" s="3">
        <v>43476</v>
      </c>
      <c r="H63" s="4">
        <v>43482</v>
      </c>
      <c r="I63" s="30" t="s">
        <v>67</v>
      </c>
      <c r="J63" s="4" t="s">
        <v>68</v>
      </c>
      <c r="K63" s="5" t="s">
        <v>69</v>
      </c>
      <c r="L63" s="5" t="s">
        <v>70</v>
      </c>
      <c r="M63" s="5">
        <v>78</v>
      </c>
      <c r="N63" s="5">
        <v>1</v>
      </c>
      <c r="O63" s="5">
        <v>71</v>
      </c>
      <c r="P63" s="5">
        <v>227</v>
      </c>
      <c r="Q63" s="5">
        <v>929749</v>
      </c>
      <c r="R63" s="5">
        <v>124573</v>
      </c>
      <c r="S63" s="27">
        <v>13095.056338028169</v>
      </c>
      <c r="T63" s="27">
        <v>1754.5492957746478</v>
      </c>
      <c r="U63" s="7">
        <v>0.13398562407703585</v>
      </c>
      <c r="V63" s="7">
        <v>2.1916853695886439E-2</v>
      </c>
      <c r="W63" s="8">
        <v>0.1378927911275416</v>
      </c>
      <c r="X63" s="24">
        <v>0.69870609981515708</v>
      </c>
      <c r="Y63" s="24">
        <v>0.69648798521256927</v>
      </c>
      <c r="Z63" s="24">
        <v>0.17892791127541591</v>
      </c>
      <c r="AA63" s="24">
        <v>0.12458410351201479</v>
      </c>
      <c r="AB63" s="24">
        <v>2.3417994178839994</v>
      </c>
      <c r="AC63" s="24">
        <v>0.2756161059870304</v>
      </c>
      <c r="AD63" s="6" t="s">
        <v>57</v>
      </c>
      <c r="AE63" s="6" t="s">
        <v>41</v>
      </c>
      <c r="AF63" t="s">
        <v>72</v>
      </c>
      <c r="AG63" t="s">
        <v>242</v>
      </c>
      <c r="AH63" t="s">
        <v>42</v>
      </c>
    </row>
    <row r="64" spans="1:34" x14ac:dyDescent="0.25">
      <c r="A64" s="1" t="s">
        <v>333</v>
      </c>
      <c r="B64" s="1" t="str">
        <f>SUBSTITUTE(ListingTable[[#This Row],[Program]],".zip","_case.pptx")</f>
        <v>FSC18084_980139499_20181019_12_case.pptx</v>
      </c>
      <c r="C64" s="83" t="s">
        <v>783</v>
      </c>
      <c r="D64" s="78"/>
      <c r="E64" s="78"/>
      <c r="F64" s="2" t="s">
        <v>40</v>
      </c>
      <c r="G64" s="3">
        <v>43392</v>
      </c>
      <c r="H64" s="4">
        <v>43398</v>
      </c>
      <c r="I64" s="30" t="s">
        <v>334</v>
      </c>
      <c r="J64" s="4" t="s">
        <v>335</v>
      </c>
      <c r="K64" s="5" t="s">
        <v>34</v>
      </c>
      <c r="L64" s="5" t="s">
        <v>35</v>
      </c>
      <c r="M64" s="5">
        <v>54</v>
      </c>
      <c r="N64" s="5">
        <v>15</v>
      </c>
      <c r="O64" s="5">
        <v>189</v>
      </c>
      <c r="P64" s="5">
        <v>340</v>
      </c>
      <c r="Q64" s="5">
        <v>2530519</v>
      </c>
      <c r="R64" s="5">
        <v>150858</v>
      </c>
      <c r="S64" s="27">
        <v>13388.989417989418</v>
      </c>
      <c r="T64" s="27">
        <v>798.19047619047615</v>
      </c>
      <c r="U64" s="7">
        <v>5.9615438572087384E-2</v>
      </c>
      <c r="V64" s="7">
        <v>1.0454649426137969E-2</v>
      </c>
      <c r="W64" s="8">
        <v>0.13513513513513514</v>
      </c>
      <c r="X64" s="24">
        <v>0.52059202059202059</v>
      </c>
      <c r="Y64" s="24">
        <v>0.84169884169884168</v>
      </c>
      <c r="Z64" s="24">
        <v>0.14350064350064351</v>
      </c>
      <c r="AA64" s="24">
        <v>1.4800514800514801E-2</v>
      </c>
      <c r="AB64" s="24">
        <v>6.3107205323443942</v>
      </c>
      <c r="AC64" s="24">
        <v>9.3304061470911248E-2</v>
      </c>
      <c r="AD64" s="6" t="s">
        <v>57</v>
      </c>
      <c r="AE64" s="6" t="s">
        <v>71</v>
      </c>
      <c r="AF64" t="s">
        <v>328</v>
      </c>
      <c r="AG64" t="s">
        <v>329</v>
      </c>
      <c r="AH64" t="s">
        <v>34</v>
      </c>
    </row>
    <row r="65" spans="1:34" x14ac:dyDescent="0.25">
      <c r="A65" s="1" t="s">
        <v>524</v>
      </c>
      <c r="B65" s="1" t="str">
        <f>SUBSTITUTE(ListingTable[[#This Row],[Program]],".zip","_case.pptx")</f>
        <v>FSC18055_980074723_20181109_12_case.pptx</v>
      </c>
      <c r="C65" s="83" t="s">
        <v>784</v>
      </c>
      <c r="D65" s="78"/>
      <c r="E65" s="78"/>
      <c r="F65" s="2" t="s">
        <v>40</v>
      </c>
      <c r="G65" s="3">
        <v>43413</v>
      </c>
      <c r="H65" s="4">
        <v>43419</v>
      </c>
      <c r="I65" s="30" t="s">
        <v>417</v>
      </c>
      <c r="J65" s="4" t="s">
        <v>418</v>
      </c>
      <c r="K65" s="5" t="s">
        <v>69</v>
      </c>
      <c r="L65" s="5" t="s">
        <v>419</v>
      </c>
      <c r="M65" s="5">
        <v>78</v>
      </c>
      <c r="N65" s="5">
        <v>20</v>
      </c>
      <c r="O65" s="5">
        <v>77</v>
      </c>
      <c r="P65" s="5">
        <v>512</v>
      </c>
      <c r="Q65" s="5">
        <v>864921</v>
      </c>
      <c r="R65" s="5">
        <v>69062</v>
      </c>
      <c r="S65" s="27">
        <v>11232.74025974026</v>
      </c>
      <c r="T65" s="27">
        <v>896.90909090909088</v>
      </c>
      <c r="U65" s="7">
        <v>7.984775488165971E-2</v>
      </c>
      <c r="V65" s="7">
        <v>4.4402952417072671E-2</v>
      </c>
      <c r="W65" s="8">
        <v>0.13436268068331142</v>
      </c>
      <c r="X65" s="24">
        <v>0.59099868593955318</v>
      </c>
      <c r="Y65" s="24">
        <v>0.7053219448094612</v>
      </c>
      <c r="Z65" s="24">
        <v>9.2641261498028912E-2</v>
      </c>
      <c r="AA65" s="24">
        <v>0.20203679369250985</v>
      </c>
      <c r="AB65" s="24">
        <v>0.27756966605931999</v>
      </c>
      <c r="AC65" s="24">
        <v>-0.35557012570716362</v>
      </c>
      <c r="AD65" s="6" t="s">
        <v>57</v>
      </c>
      <c r="AE65" s="6" t="s">
        <v>465</v>
      </c>
      <c r="AF65" t="s">
        <v>420</v>
      </c>
      <c r="AG65" t="s">
        <v>525</v>
      </c>
      <c r="AH65" t="s">
        <v>42</v>
      </c>
    </row>
    <row r="66" spans="1:34" x14ac:dyDescent="0.25">
      <c r="A66" s="1" t="s">
        <v>535</v>
      </c>
      <c r="B66" s="1" t="str">
        <f>SUBSTITUTE(ListingTable[[#This Row],[Program]],".zip","_case.pptx")</f>
        <v>FSC18108_567934_20181207_12_case.pptx</v>
      </c>
      <c r="C66" s="83" t="s">
        <v>785</v>
      </c>
      <c r="D66" s="78"/>
      <c r="E66" s="78"/>
      <c r="F66" s="2" t="s">
        <v>40</v>
      </c>
      <c r="G66" s="3">
        <v>43441</v>
      </c>
      <c r="H66" s="4">
        <v>43447</v>
      </c>
      <c r="I66" s="30" t="s">
        <v>44</v>
      </c>
      <c r="J66" s="4" t="s">
        <v>45</v>
      </c>
      <c r="K66" s="5" t="s">
        <v>46</v>
      </c>
      <c r="L66" s="5" t="s">
        <v>47</v>
      </c>
      <c r="M66" s="5">
        <v>94</v>
      </c>
      <c r="N66" s="5">
        <v>25</v>
      </c>
      <c r="O66" s="5">
        <v>150</v>
      </c>
      <c r="P66" s="5">
        <v>439</v>
      </c>
      <c r="Q66" s="5">
        <v>2038986</v>
      </c>
      <c r="R66" s="5">
        <v>168635</v>
      </c>
      <c r="S66" s="27">
        <v>13593.24</v>
      </c>
      <c r="T66" s="27">
        <v>1124.2333333333333</v>
      </c>
      <c r="U66" s="7">
        <v>8.270532509786728E-2</v>
      </c>
      <c r="V66" s="7">
        <v>2.4252455831024432E-2</v>
      </c>
      <c r="W66" s="8">
        <v>0.13427299703264095</v>
      </c>
      <c r="X66" s="24">
        <v>0.29451038575667654</v>
      </c>
      <c r="Y66" s="24">
        <v>0.49826904055390703</v>
      </c>
      <c r="Z66" s="24">
        <v>0.12710187932739861</v>
      </c>
      <c r="AA66" s="24">
        <v>0.37462908011869434</v>
      </c>
      <c r="AB66" s="24">
        <v>0.38328942674407379</v>
      </c>
      <c r="AC66" s="24">
        <v>0.30340958695021553</v>
      </c>
      <c r="AD66" s="6" t="s">
        <v>36</v>
      </c>
      <c r="AE66" s="6" t="s">
        <v>41</v>
      </c>
      <c r="AF66" t="s">
        <v>533</v>
      </c>
      <c r="AG66" t="s">
        <v>534</v>
      </c>
      <c r="AH66" t="s">
        <v>48</v>
      </c>
    </row>
    <row r="67" spans="1:34" x14ac:dyDescent="0.25">
      <c r="A67" s="1" t="s">
        <v>552</v>
      </c>
      <c r="B67" s="1" t="str">
        <f>SUBSTITUTE(ListingTable[[#This Row],[Program]],".zip","_case.pptx")</f>
        <v>FSC18024_980011652_20180413_12_case.pptx</v>
      </c>
      <c r="C67" s="83" t="s">
        <v>786</v>
      </c>
      <c r="D67" s="78"/>
      <c r="E67" s="78"/>
      <c r="F67" s="2" t="s">
        <v>40</v>
      </c>
      <c r="G67" s="3">
        <v>43203</v>
      </c>
      <c r="H67" s="4">
        <v>43209</v>
      </c>
      <c r="I67" s="30" t="s">
        <v>456</v>
      </c>
      <c r="J67" s="4" t="s">
        <v>457</v>
      </c>
      <c r="K67" s="5" t="s">
        <v>277</v>
      </c>
      <c r="L67" s="5" t="s">
        <v>458</v>
      </c>
      <c r="M67" s="5">
        <v>78</v>
      </c>
      <c r="N67" s="5">
        <v>10</v>
      </c>
      <c r="O67" s="5">
        <v>335</v>
      </c>
      <c r="P67" s="5">
        <v>254</v>
      </c>
      <c r="Q67" s="5">
        <v>4028906</v>
      </c>
      <c r="R67" s="5">
        <v>371771</v>
      </c>
      <c r="S67" s="27">
        <v>12026.585074626866</v>
      </c>
      <c r="T67" s="27">
        <v>1109.7641791044775</v>
      </c>
      <c r="U67" s="7">
        <v>9.2275918078009264E-2</v>
      </c>
      <c r="V67" s="7">
        <v>3.9430353758256577E-2</v>
      </c>
      <c r="W67" s="8">
        <v>0.13386206896551725</v>
      </c>
      <c r="X67" s="24">
        <v>0.55710344827586211</v>
      </c>
      <c r="Y67" s="24">
        <v>0.5297931034482759</v>
      </c>
      <c r="Z67" s="24">
        <v>0.14441379310344826</v>
      </c>
      <c r="AA67" s="24">
        <v>0.32579310344827589</v>
      </c>
      <c r="AB67" s="24">
        <v>0.35566715004460581</v>
      </c>
      <c r="AC67" s="24">
        <v>-0.17240507934319185</v>
      </c>
      <c r="AD67" s="6" t="s">
        <v>57</v>
      </c>
      <c r="AE67" s="6" t="s">
        <v>71</v>
      </c>
      <c r="AF67" t="s">
        <v>553</v>
      </c>
      <c r="AG67" t="s">
        <v>554</v>
      </c>
      <c r="AH67" t="s">
        <v>42</v>
      </c>
    </row>
    <row r="68" spans="1:34" x14ac:dyDescent="0.25">
      <c r="A68" s="1" t="s">
        <v>160</v>
      </c>
      <c r="B68" s="1" t="str">
        <f>SUBSTITUTE(ListingTable[[#This Row],[Program]],".zip","_case.pptx")</f>
        <v>FSC18026_980075292_20180427_12_case.pptx</v>
      </c>
      <c r="C68" s="83" t="s">
        <v>787</v>
      </c>
      <c r="D68" s="78"/>
      <c r="E68" s="78"/>
      <c r="F68" s="2" t="s">
        <v>40</v>
      </c>
      <c r="G68" s="3">
        <v>43217</v>
      </c>
      <c r="H68" s="4">
        <v>43223</v>
      </c>
      <c r="I68" s="30" t="s">
        <v>161</v>
      </c>
      <c r="J68" s="4" t="s">
        <v>162</v>
      </c>
      <c r="K68" s="5" t="s">
        <v>145</v>
      </c>
      <c r="L68" s="5" t="s">
        <v>146</v>
      </c>
      <c r="M68" s="5">
        <v>42</v>
      </c>
      <c r="N68" s="5">
        <v>60</v>
      </c>
      <c r="O68" s="5">
        <v>14</v>
      </c>
      <c r="P68" s="5">
        <v>206</v>
      </c>
      <c r="Q68" s="5">
        <v>147284</v>
      </c>
      <c r="R68" s="5">
        <v>3484</v>
      </c>
      <c r="S68" s="27">
        <v>10520.285714285714</v>
      </c>
      <c r="T68" s="27">
        <v>248.85714285714286</v>
      </c>
      <c r="U68" s="7">
        <v>2.365497949539665E-2</v>
      </c>
      <c r="V68" s="7">
        <v>4.3091065785693765E-3</v>
      </c>
      <c r="W68" s="8">
        <v>0.13333333333333333</v>
      </c>
      <c r="X68" s="24">
        <v>0.53333333333333333</v>
      </c>
      <c r="Y68" s="24">
        <v>0.6</v>
      </c>
      <c r="Z68" s="24">
        <v>0.13333333333333333</v>
      </c>
      <c r="AA68" s="24">
        <v>0.26666666666666666</v>
      </c>
      <c r="AB68" s="24">
        <v>7.788099220182558E-2</v>
      </c>
      <c r="AC68" s="24">
        <v>-5.5041961559413238E-2</v>
      </c>
      <c r="AD68" s="6" t="s">
        <v>147</v>
      </c>
      <c r="AE68" s="6" t="s">
        <v>37</v>
      </c>
      <c r="AF68" t="s">
        <v>148</v>
      </c>
      <c r="AG68" t="s">
        <v>149</v>
      </c>
      <c r="AH68" t="s">
        <v>42</v>
      </c>
    </row>
    <row r="69" spans="1:34" x14ac:dyDescent="0.25">
      <c r="A69" s="1" t="s">
        <v>166</v>
      </c>
      <c r="B69" s="1" t="str">
        <f>SUBSTITUTE(ListingTable[[#This Row],[Program]],".zip","_case.pptx")</f>
        <v>FSC18131_371722_20190315_12_case.pptx</v>
      </c>
      <c r="C69" s="83" t="s">
        <v>788</v>
      </c>
      <c r="D69" s="78"/>
      <c r="E69" s="78"/>
      <c r="F69" s="2" t="s">
        <v>40</v>
      </c>
      <c r="G69" s="3">
        <v>43539</v>
      </c>
      <c r="H69" s="4">
        <v>43545</v>
      </c>
      <c r="I69" s="30" t="s">
        <v>167</v>
      </c>
      <c r="J69" s="4" t="s">
        <v>168</v>
      </c>
      <c r="K69" s="5" t="s">
        <v>77</v>
      </c>
      <c r="L69" s="5" t="s">
        <v>169</v>
      </c>
      <c r="M69" s="5">
        <v>2</v>
      </c>
      <c r="N69" s="5">
        <v>13</v>
      </c>
      <c r="O69" s="5">
        <v>565</v>
      </c>
      <c r="P69" s="5">
        <v>24</v>
      </c>
      <c r="Q69" s="5">
        <v>6547952</v>
      </c>
      <c r="R69" s="5">
        <v>155762</v>
      </c>
      <c r="S69" s="27">
        <v>11589.295575221238</v>
      </c>
      <c r="T69" s="27">
        <v>275.68495575221237</v>
      </c>
      <c r="U69" s="7">
        <v>2.3787895818417729E-2</v>
      </c>
      <c r="V69" s="7">
        <v>4.0283932804287333E-2</v>
      </c>
      <c r="W69" s="8">
        <v>0.1331947553565718</v>
      </c>
      <c r="X69" s="24">
        <v>0.7446434282059482</v>
      </c>
      <c r="Y69" s="24">
        <v>0.64230892228973457</v>
      </c>
      <c r="Z69" s="24">
        <v>6.1080908218740008E-2</v>
      </c>
      <c r="AA69" s="24">
        <v>0.29661016949152541</v>
      </c>
      <c r="AB69" s="24">
        <v>0.10928850614032835</v>
      </c>
      <c r="AC69" s="24">
        <v>-0.25723460651464514</v>
      </c>
      <c r="AD69" s="6" t="s">
        <v>36</v>
      </c>
      <c r="AE69" s="6" t="s">
        <v>170</v>
      </c>
      <c r="AF69" t="s">
        <v>171</v>
      </c>
      <c r="AG69" t="s">
        <v>172</v>
      </c>
      <c r="AH69" t="s">
        <v>48</v>
      </c>
    </row>
    <row r="70" spans="1:34" x14ac:dyDescent="0.25">
      <c r="A70" s="1" t="s">
        <v>615</v>
      </c>
      <c r="B70" s="29" t="str">
        <f>SUBSTITUTE(ListingTable[[#This Row],[Program]],".zip","_case.pptx")</f>
        <v>FSC19014_491913_20190405_12_case.pptx</v>
      </c>
      <c r="C70" s="84" t="s">
        <v>789</v>
      </c>
      <c r="D70" s="78"/>
      <c r="E70" s="78"/>
      <c r="F70" s="2" t="s">
        <v>40</v>
      </c>
      <c r="G70" s="3">
        <v>43560</v>
      </c>
      <c r="H70" s="4">
        <v>43566</v>
      </c>
      <c r="I70" s="30">
        <v>491913</v>
      </c>
      <c r="J70" s="4" t="s">
        <v>238</v>
      </c>
      <c r="K70" s="5" t="s">
        <v>93</v>
      </c>
      <c r="L70" s="5" t="s">
        <v>121</v>
      </c>
      <c r="M70" s="5">
        <v>13</v>
      </c>
      <c r="N70" s="5">
        <v>90</v>
      </c>
      <c r="O70" s="5">
        <v>210</v>
      </c>
      <c r="P70" s="5">
        <v>379</v>
      </c>
      <c r="Q70" s="5">
        <v>2502778</v>
      </c>
      <c r="R70" s="5">
        <v>71225</v>
      </c>
      <c r="S70" s="27">
        <v>11917.990476190476</v>
      </c>
      <c r="T70" s="27">
        <v>339.16666666666669</v>
      </c>
      <c r="U70" s="7">
        <v>2.8000000000000001E-2</v>
      </c>
      <c r="V70" s="7">
        <v>6.9000000000000006E-2</v>
      </c>
      <c r="W70" s="8">
        <v>0.129</v>
      </c>
      <c r="X70" s="24">
        <v>0.67</v>
      </c>
      <c r="Y70" s="24">
        <v>0.48</v>
      </c>
      <c r="Z70" s="24">
        <v>0.28000000000000003</v>
      </c>
      <c r="AA70" s="24">
        <v>0.23</v>
      </c>
      <c r="AB70" s="24">
        <v>-0.16</v>
      </c>
      <c r="AC70" s="24">
        <v>-0.39</v>
      </c>
      <c r="AD70" s="6" t="s">
        <v>36</v>
      </c>
      <c r="AE70" s="6" t="s">
        <v>37</v>
      </c>
      <c r="AF70" t="s">
        <v>647</v>
      </c>
      <c r="AG70" t="str">
        <f>+_xlfn.CONCAT(ListingTable[[#This Row],[Program2]],ListingTable[[#This Row],[Start date]])</f>
        <v>FSC1901443560</v>
      </c>
      <c r="AH70" t="s">
        <v>48</v>
      </c>
    </row>
    <row r="71" spans="1:34" x14ac:dyDescent="0.25">
      <c r="A71" s="1" t="s">
        <v>258</v>
      </c>
      <c r="B71" s="1" t="str">
        <f>SUBSTITUTE(ListingTable[[#This Row],[Program]],".zip","_case.pptx")</f>
        <v>FSC18098_980114984_20181207_12_case.pptx</v>
      </c>
      <c r="C71" s="83" t="s">
        <v>790</v>
      </c>
      <c r="D71" s="78"/>
      <c r="E71" s="78"/>
      <c r="F71" s="2" t="s">
        <v>40</v>
      </c>
      <c r="G71" s="3">
        <v>43441</v>
      </c>
      <c r="H71" s="4">
        <v>43447</v>
      </c>
      <c r="I71" s="30" t="s">
        <v>67</v>
      </c>
      <c r="J71" s="4" t="s">
        <v>68</v>
      </c>
      <c r="K71" s="5" t="s">
        <v>69</v>
      </c>
      <c r="L71" s="5" t="s">
        <v>70</v>
      </c>
      <c r="M71" s="5">
        <v>78</v>
      </c>
      <c r="N71" s="5">
        <v>1</v>
      </c>
      <c r="O71" s="5">
        <v>191</v>
      </c>
      <c r="P71" s="5">
        <v>119</v>
      </c>
      <c r="Q71" s="5">
        <v>2551730</v>
      </c>
      <c r="R71" s="5">
        <v>337359</v>
      </c>
      <c r="S71" s="27">
        <v>13359.842931937173</v>
      </c>
      <c r="T71" s="27">
        <v>1766.2774869109949</v>
      </c>
      <c r="U71" s="7">
        <v>0.13220795303578356</v>
      </c>
      <c r="V71" s="7">
        <v>1.9815996465400904E-2</v>
      </c>
      <c r="W71" s="8">
        <v>0.12846958895798574</v>
      </c>
      <c r="X71" s="24">
        <v>0.66449264371302896</v>
      </c>
      <c r="Y71" s="24">
        <v>0.68072197785530109</v>
      </c>
      <c r="Z71" s="24">
        <v>0.1738207189443349</v>
      </c>
      <c r="AA71" s="24">
        <v>0.14545730320036401</v>
      </c>
      <c r="AB71" s="24">
        <v>2.0993670762889214</v>
      </c>
      <c r="AC71" s="24">
        <v>-4.6888036993462121E-3</v>
      </c>
      <c r="AD71" s="6" t="s">
        <v>57</v>
      </c>
      <c r="AE71" s="6" t="s">
        <v>71</v>
      </c>
      <c r="AF71" t="s">
        <v>72</v>
      </c>
      <c r="AG71" t="s">
        <v>259</v>
      </c>
      <c r="AH71" t="s">
        <v>42</v>
      </c>
    </row>
    <row r="72" spans="1:34" x14ac:dyDescent="0.25">
      <c r="A72" s="1" t="s">
        <v>462</v>
      </c>
      <c r="B72" s="1" t="str">
        <f>SUBSTITUTE(ListingTable[[#This Row],[Program]],".zip","_case.pptx")</f>
        <v>FSC18022_980011652_20180406_12_case.pptx</v>
      </c>
      <c r="C72" s="83" t="s">
        <v>791</v>
      </c>
      <c r="D72" s="78"/>
      <c r="E72" s="78"/>
      <c r="F72" s="2" t="s">
        <v>40</v>
      </c>
      <c r="G72" s="3">
        <v>43196</v>
      </c>
      <c r="H72" s="4">
        <v>43202</v>
      </c>
      <c r="I72" s="30" t="s">
        <v>456</v>
      </c>
      <c r="J72" s="4" t="s">
        <v>457</v>
      </c>
      <c r="K72" s="5" t="s">
        <v>277</v>
      </c>
      <c r="L72" s="5" t="s">
        <v>458</v>
      </c>
      <c r="M72" s="5">
        <v>78</v>
      </c>
      <c r="N72" s="5">
        <v>10</v>
      </c>
      <c r="O72" s="5">
        <v>90</v>
      </c>
      <c r="P72" s="5">
        <v>499</v>
      </c>
      <c r="Q72" s="5">
        <v>1063375</v>
      </c>
      <c r="R72" s="5">
        <v>106510</v>
      </c>
      <c r="S72" s="27">
        <v>11815.277777777777</v>
      </c>
      <c r="T72" s="27">
        <v>1183.4444444444443</v>
      </c>
      <c r="U72" s="7">
        <v>0.10016221934877161</v>
      </c>
      <c r="V72" s="7">
        <v>3.8601913031937586E-2</v>
      </c>
      <c r="W72" s="8">
        <v>0.12819253438113948</v>
      </c>
      <c r="X72" s="24">
        <v>0.56630648330058941</v>
      </c>
      <c r="Y72" s="24">
        <v>0.55771119842829076</v>
      </c>
      <c r="Z72" s="24">
        <v>0.15078585461689586</v>
      </c>
      <c r="AA72" s="24">
        <v>0.29150294695481338</v>
      </c>
      <c r="AB72" s="24">
        <v>0.49945653327812617</v>
      </c>
      <c r="AC72" s="24">
        <v>6.72759450032476E-2</v>
      </c>
      <c r="AD72" s="6" t="s">
        <v>57</v>
      </c>
      <c r="AE72" s="6" t="s">
        <v>41</v>
      </c>
      <c r="AF72" t="s">
        <v>463</v>
      </c>
      <c r="AG72" t="s">
        <v>464</v>
      </c>
      <c r="AH72" t="s">
        <v>42</v>
      </c>
    </row>
    <row r="73" spans="1:34" x14ac:dyDescent="0.25">
      <c r="A73" t="s">
        <v>62</v>
      </c>
      <c r="B73" t="str">
        <f>SUBSTITUTE(ListingTable[[#This Row],[Program]],".zip","_case.pptx")</f>
        <v>FSC18016_675774_20180330_12_case.pptx</v>
      </c>
      <c r="C73" s="82" t="s">
        <v>792</v>
      </c>
      <c r="D73" s="79"/>
      <c r="E73" s="79"/>
      <c r="F73" s="9" t="s">
        <v>40</v>
      </c>
      <c r="G73" s="10">
        <v>43189</v>
      </c>
      <c r="H73" s="4">
        <v>43195</v>
      </c>
      <c r="I73" s="30" t="s">
        <v>63</v>
      </c>
      <c r="J73" s="4" t="s">
        <v>64</v>
      </c>
      <c r="K73" s="5" t="s">
        <v>55</v>
      </c>
      <c r="L73" s="5" t="s">
        <v>56</v>
      </c>
      <c r="M73" s="5">
        <v>41</v>
      </c>
      <c r="N73" s="5">
        <v>83</v>
      </c>
      <c r="O73" s="5">
        <v>258</v>
      </c>
      <c r="P73" s="5">
        <v>329</v>
      </c>
      <c r="Q73" s="5">
        <v>2810015</v>
      </c>
      <c r="R73" s="5">
        <v>479189</v>
      </c>
      <c r="S73" s="27">
        <v>10891.531007751939</v>
      </c>
      <c r="T73" s="27">
        <v>1857.3217054263566</v>
      </c>
      <c r="U73" s="7">
        <v>0.1705289829413722</v>
      </c>
      <c r="V73" s="7">
        <v>3.6189581799876476E-2</v>
      </c>
      <c r="W73" s="8">
        <v>0.12413793103448276</v>
      </c>
      <c r="X73" s="24">
        <v>0.41373465809468146</v>
      </c>
      <c r="Y73" s="24">
        <v>0.44295733489187611</v>
      </c>
      <c r="Z73" s="24">
        <v>0.36288720046756284</v>
      </c>
      <c r="AA73" s="24">
        <v>0.19415546464056108</v>
      </c>
      <c r="AB73" s="24">
        <v>0.43100581521151637</v>
      </c>
      <c r="AC73" s="24">
        <v>-0.19040309666739938</v>
      </c>
      <c r="AD73" s="6" t="s">
        <v>36</v>
      </c>
      <c r="AE73" s="6" t="s">
        <v>41</v>
      </c>
      <c r="AF73" t="s">
        <v>58</v>
      </c>
      <c r="AG73" t="s">
        <v>59</v>
      </c>
      <c r="AH73" t="s">
        <v>48</v>
      </c>
    </row>
    <row r="74" spans="1:34" x14ac:dyDescent="0.25">
      <c r="A74" t="s">
        <v>350</v>
      </c>
      <c r="B74" t="str">
        <f>SUBSTITUTE(ListingTable[[#This Row],[Program]],".zip","_case.pptx")</f>
        <v>FSC19012_980139499_20190322_12_case.pptx</v>
      </c>
      <c r="C74" s="82" t="s">
        <v>793</v>
      </c>
      <c r="D74" s="79"/>
      <c r="E74" s="79"/>
      <c r="F74" s="2" t="s">
        <v>40</v>
      </c>
      <c r="G74" s="3">
        <v>43546</v>
      </c>
      <c r="H74" s="4">
        <v>43552</v>
      </c>
      <c r="I74" s="30" t="s">
        <v>334</v>
      </c>
      <c r="J74" s="4" t="s">
        <v>335</v>
      </c>
      <c r="K74" s="5" t="s">
        <v>34</v>
      </c>
      <c r="L74" s="5" t="s">
        <v>35</v>
      </c>
      <c r="M74" s="5">
        <v>54</v>
      </c>
      <c r="N74" s="5">
        <v>15</v>
      </c>
      <c r="O74" s="5">
        <v>394</v>
      </c>
      <c r="P74" s="5">
        <v>195</v>
      </c>
      <c r="Q74" s="5">
        <v>4528541</v>
      </c>
      <c r="R74" s="5">
        <v>279674</v>
      </c>
      <c r="S74" s="27">
        <v>11493.758883248731</v>
      </c>
      <c r="T74" s="27">
        <v>709.83248730964465</v>
      </c>
      <c r="U74" s="7">
        <v>6.1758080582686566E-2</v>
      </c>
      <c r="V74" s="7">
        <v>2.8648314484163061E-2</v>
      </c>
      <c r="W74" s="8">
        <v>0.12211221122112212</v>
      </c>
      <c r="X74" s="24">
        <v>0.70982482863670981</v>
      </c>
      <c r="Y74" s="24">
        <v>0.76656511805026661</v>
      </c>
      <c r="Z74" s="24">
        <v>0.11576542269611577</v>
      </c>
      <c r="AA74" s="24">
        <v>0.11766945925361767</v>
      </c>
      <c r="AB74" s="24">
        <v>1.946698348720602</v>
      </c>
      <c r="AC74" s="24">
        <v>-0.22119275464695309</v>
      </c>
      <c r="AD74" s="6" t="s">
        <v>57</v>
      </c>
      <c r="AE74" s="6" t="s">
        <v>344</v>
      </c>
      <c r="AF74" t="s">
        <v>345</v>
      </c>
      <c r="AG74" t="s">
        <v>346</v>
      </c>
      <c r="AH74" t="s">
        <v>34</v>
      </c>
    </row>
    <row r="75" spans="1:34" x14ac:dyDescent="0.25">
      <c r="A75" s="1" t="s">
        <v>179</v>
      </c>
      <c r="B75" s="1" t="str">
        <f>SUBSTITUTE(ListingTable[[#This Row],[Program]],".zip","_case.pptx")</f>
        <v>FSC18075_567934_20181005_12_case.pptx</v>
      </c>
      <c r="C75" s="83" t="s">
        <v>794</v>
      </c>
      <c r="D75" s="78"/>
      <c r="E75" s="78"/>
      <c r="F75" s="2" t="s">
        <v>40</v>
      </c>
      <c r="G75" s="3">
        <v>43378</v>
      </c>
      <c r="H75" s="4">
        <v>43384</v>
      </c>
      <c r="I75" s="30" t="s">
        <v>44</v>
      </c>
      <c r="J75" s="4" t="s">
        <v>45</v>
      </c>
      <c r="K75" s="5" t="s">
        <v>46</v>
      </c>
      <c r="L75" s="5" t="s">
        <v>47</v>
      </c>
      <c r="M75" s="5">
        <v>94</v>
      </c>
      <c r="N75" s="5">
        <v>25</v>
      </c>
      <c r="O75" s="5">
        <v>42</v>
      </c>
      <c r="P75" s="5">
        <v>547</v>
      </c>
      <c r="Q75" s="5">
        <v>429767</v>
      </c>
      <c r="R75" s="5">
        <v>10713</v>
      </c>
      <c r="S75" s="27">
        <v>10232.547619047618</v>
      </c>
      <c r="T75" s="27">
        <v>255.07142857142858</v>
      </c>
      <c r="U75" s="7">
        <v>2.4927460693817814E-2</v>
      </c>
      <c r="V75" s="7">
        <v>1.6076268810169176E-2</v>
      </c>
      <c r="W75" s="8">
        <v>0.12209302325581395</v>
      </c>
      <c r="X75" s="24">
        <v>0.27906976744186046</v>
      </c>
      <c r="Y75" s="24">
        <v>0.47093023255813954</v>
      </c>
      <c r="Z75" s="24">
        <v>0.11046511627906977</v>
      </c>
      <c r="AA75" s="24">
        <v>0.41860465116279072</v>
      </c>
      <c r="AB75" s="24">
        <v>-5.124423778825106E-2</v>
      </c>
      <c r="AC75" s="24">
        <v>-9.4352908082001155E-2</v>
      </c>
      <c r="AD75" s="6" t="s">
        <v>36</v>
      </c>
      <c r="AE75" s="6" t="s">
        <v>37</v>
      </c>
      <c r="AF75" t="s">
        <v>180</v>
      </c>
      <c r="AG75" t="s">
        <v>181</v>
      </c>
      <c r="AH75" t="s">
        <v>48</v>
      </c>
    </row>
    <row r="76" spans="1:34" x14ac:dyDescent="0.25">
      <c r="A76" s="1" t="s">
        <v>568</v>
      </c>
      <c r="B76" s="1" t="str">
        <f>SUBSTITUTE(ListingTable[[#This Row],[Program]],".zip","_case.pptx")</f>
        <v>FSC18062_567934_20181005_12_case.pptx</v>
      </c>
      <c r="C76" s="83" t="s">
        <v>795</v>
      </c>
      <c r="D76" s="78"/>
      <c r="E76" s="78"/>
      <c r="F76" s="2" t="s">
        <v>40</v>
      </c>
      <c r="G76" s="3">
        <v>43378</v>
      </c>
      <c r="H76" s="4">
        <v>43384</v>
      </c>
      <c r="I76" s="30" t="s">
        <v>44</v>
      </c>
      <c r="J76" s="4" t="s">
        <v>45</v>
      </c>
      <c r="K76" s="5" t="s">
        <v>46</v>
      </c>
      <c r="L76" s="5" t="s">
        <v>47</v>
      </c>
      <c r="M76" s="5">
        <v>94</v>
      </c>
      <c r="N76" s="5">
        <v>25</v>
      </c>
      <c r="O76" s="5">
        <v>150</v>
      </c>
      <c r="P76" s="5">
        <v>439</v>
      </c>
      <c r="Q76" s="5">
        <v>1823268</v>
      </c>
      <c r="R76" s="5">
        <v>165094</v>
      </c>
      <c r="S76" s="27">
        <v>12155.12</v>
      </c>
      <c r="T76" s="27">
        <v>1100.6266666666668</v>
      </c>
      <c r="U76" s="7">
        <v>9.0548399906102667E-2</v>
      </c>
      <c r="V76" s="7">
        <v>2.0175169963863537E-2</v>
      </c>
      <c r="W76" s="8">
        <v>0.12143290831815422</v>
      </c>
      <c r="X76" s="24">
        <v>0.27352762598664238</v>
      </c>
      <c r="Y76" s="24">
        <v>0.49666059502125076</v>
      </c>
      <c r="Z76" s="24">
        <v>0.11930783242258652</v>
      </c>
      <c r="AA76" s="24">
        <v>0.38403157255616271</v>
      </c>
      <c r="AB76" s="24">
        <v>-3.6870296926624836E-2</v>
      </c>
      <c r="AC76" s="24">
        <v>-0.11299952311659156</v>
      </c>
      <c r="AD76" s="6" t="s">
        <v>36</v>
      </c>
      <c r="AE76" s="6" t="s">
        <v>41</v>
      </c>
      <c r="AF76" t="s">
        <v>536</v>
      </c>
      <c r="AG76" t="s">
        <v>569</v>
      </c>
      <c r="AH76" t="s">
        <v>48</v>
      </c>
    </row>
    <row r="77" spans="1:34" x14ac:dyDescent="0.25">
      <c r="A77" s="1" t="s">
        <v>74</v>
      </c>
      <c r="B77" s="1" t="str">
        <f>SUBSTITUTE(ListingTable[[#This Row],[Program]],".zip","_case.pptx")</f>
        <v>FSC18093_11808_20181005_12_case.pptx</v>
      </c>
      <c r="C77" s="83" t="s">
        <v>796</v>
      </c>
      <c r="D77" s="78"/>
      <c r="E77" s="78"/>
      <c r="F77" s="2" t="s">
        <v>40</v>
      </c>
      <c r="G77" s="3">
        <v>43378</v>
      </c>
      <c r="H77" s="4">
        <v>43391</v>
      </c>
      <c r="I77" s="30" t="s">
        <v>75</v>
      </c>
      <c r="J77" s="4" t="s">
        <v>76</v>
      </c>
      <c r="K77" s="5" t="s">
        <v>77</v>
      </c>
      <c r="L77" s="5" t="s">
        <v>78</v>
      </c>
      <c r="M77" s="5">
        <v>2</v>
      </c>
      <c r="N77" s="5">
        <v>10</v>
      </c>
      <c r="O77" s="5">
        <v>152</v>
      </c>
      <c r="P77" s="5">
        <v>437</v>
      </c>
      <c r="Q77" s="5">
        <v>2734535</v>
      </c>
      <c r="R77" s="5">
        <v>41388</v>
      </c>
      <c r="S77" s="27">
        <v>17990.361842105263</v>
      </c>
      <c r="T77" s="27">
        <v>272.28947368421052</v>
      </c>
      <c r="U77" s="7">
        <v>1.5135297226036602E-2</v>
      </c>
      <c r="V77" s="7">
        <v>5.2727272727272727E-2</v>
      </c>
      <c r="W77" s="8">
        <v>0.12091954022988506</v>
      </c>
      <c r="X77" s="24">
        <v>0.73333333333333328</v>
      </c>
      <c r="Y77" s="24">
        <v>0.57103448275862068</v>
      </c>
      <c r="Z77" s="24">
        <v>9.2873563218390798E-2</v>
      </c>
      <c r="AA77" s="24">
        <v>0.33609195402298853</v>
      </c>
      <c r="AB77" s="24">
        <v>0.42659988300545076</v>
      </c>
      <c r="AC77" s="24">
        <v>6.1720753615748206E-2</v>
      </c>
      <c r="AD77" s="6" t="s">
        <v>36</v>
      </c>
      <c r="AE77" s="6" t="s">
        <v>37</v>
      </c>
      <c r="AF77" t="s">
        <v>79</v>
      </c>
      <c r="AG77" t="s">
        <v>80</v>
      </c>
      <c r="AH77" t="s">
        <v>48</v>
      </c>
    </row>
    <row r="78" spans="1:34" x14ac:dyDescent="0.25">
      <c r="A78" s="1" t="s">
        <v>455</v>
      </c>
      <c r="B78" s="1" t="str">
        <f>SUBSTITUTE(ListingTable[[#This Row],[Program]],".zip","_case.pptx")</f>
        <v>FSC18049_980011652_20180622_12_case.pptx</v>
      </c>
      <c r="C78" s="83" t="s">
        <v>797</v>
      </c>
      <c r="D78" s="78"/>
      <c r="E78" s="78"/>
      <c r="F78" s="2" t="s">
        <v>40</v>
      </c>
      <c r="G78" s="3">
        <v>43273</v>
      </c>
      <c r="H78" s="4">
        <v>43279</v>
      </c>
      <c r="I78" s="30" t="s">
        <v>456</v>
      </c>
      <c r="J78" s="4" t="s">
        <v>457</v>
      </c>
      <c r="K78" s="5" t="s">
        <v>277</v>
      </c>
      <c r="L78" s="5" t="s">
        <v>458</v>
      </c>
      <c r="M78" s="5">
        <v>78</v>
      </c>
      <c r="N78" s="5">
        <v>10</v>
      </c>
      <c r="O78" s="5">
        <v>589</v>
      </c>
      <c r="P78" s="5">
        <v>0</v>
      </c>
      <c r="Q78" s="5">
        <v>7045758</v>
      </c>
      <c r="R78" s="5">
        <v>714291</v>
      </c>
      <c r="S78" s="27">
        <v>11962.237691001697</v>
      </c>
      <c r="T78" s="27">
        <v>1212.7181663837011</v>
      </c>
      <c r="U78" s="7">
        <v>0.10137887222354217</v>
      </c>
      <c r="V78" s="7">
        <v>3.546763764381889E-2</v>
      </c>
      <c r="W78" s="8">
        <v>0.11939163498098859</v>
      </c>
      <c r="X78" s="24">
        <v>0.57654592755653389</v>
      </c>
      <c r="Y78" s="24">
        <v>0.57786672003201922</v>
      </c>
      <c r="Z78" s="24">
        <v>0.15381228737242345</v>
      </c>
      <c r="AA78" s="24">
        <v>0.26832099259555736</v>
      </c>
      <c r="AB78" s="24">
        <v>0.55212735772439514</v>
      </c>
      <c r="AC78" s="24"/>
      <c r="AD78" s="6" t="s">
        <v>57</v>
      </c>
      <c r="AE78" s="6" t="s">
        <v>41</v>
      </c>
      <c r="AF78" t="s">
        <v>459</v>
      </c>
      <c r="AG78" t="s">
        <v>460</v>
      </c>
      <c r="AH78" t="s">
        <v>42</v>
      </c>
    </row>
    <row r="79" spans="1:34" x14ac:dyDescent="0.25">
      <c r="A79" s="1" t="s">
        <v>300</v>
      </c>
      <c r="B79" s="1" t="str">
        <f>SUBSTITUTE(ListingTable[[#This Row],[Program]],".zip","_case.pptx")</f>
        <v>FSC18096_980070881_20181207_12_case.pptx</v>
      </c>
      <c r="C79" s="83" t="s">
        <v>798</v>
      </c>
      <c r="D79" s="78"/>
      <c r="E79" s="78"/>
      <c r="F79" s="2" t="s">
        <v>40</v>
      </c>
      <c r="G79" s="3">
        <v>43441</v>
      </c>
      <c r="H79" s="4">
        <v>43447</v>
      </c>
      <c r="I79" s="30" t="s">
        <v>301</v>
      </c>
      <c r="J79" s="4" t="s">
        <v>302</v>
      </c>
      <c r="K79" s="5" t="s">
        <v>93</v>
      </c>
      <c r="L79" s="5" t="s">
        <v>303</v>
      </c>
      <c r="M79" s="5">
        <v>13</v>
      </c>
      <c r="N79" s="5">
        <v>14</v>
      </c>
      <c r="O79" s="5">
        <v>76</v>
      </c>
      <c r="P79" s="5">
        <v>513</v>
      </c>
      <c r="Q79" s="5">
        <v>978072</v>
      </c>
      <c r="R79" s="5">
        <v>49417</v>
      </c>
      <c r="S79" s="27">
        <v>12869.368421052632</v>
      </c>
      <c r="T79" s="27">
        <v>650.22368421052636</v>
      </c>
      <c r="U79" s="7">
        <v>5.0524910231557592E-2</v>
      </c>
      <c r="V79" s="7">
        <v>2.9890748393960474E-2</v>
      </c>
      <c r="W79" s="8">
        <v>0.11841204654346338</v>
      </c>
      <c r="X79" s="24">
        <v>0.14989733059548255</v>
      </c>
      <c r="Y79" s="24">
        <v>0.49007529089664614</v>
      </c>
      <c r="Z79" s="24">
        <v>0.16153319644079397</v>
      </c>
      <c r="AA79" s="24">
        <v>0.34839151266255991</v>
      </c>
      <c r="AB79" s="24">
        <v>-0.22514994964878376</v>
      </c>
      <c r="AC79" s="24">
        <v>-0.29799086186229545</v>
      </c>
      <c r="AD79" s="6" t="s">
        <v>36</v>
      </c>
      <c r="AE79" s="6" t="s">
        <v>41</v>
      </c>
      <c r="AF79" t="s">
        <v>304</v>
      </c>
      <c r="AG79" t="s">
        <v>305</v>
      </c>
      <c r="AH79" t="s">
        <v>48</v>
      </c>
    </row>
    <row r="80" spans="1:34" x14ac:dyDescent="0.25">
      <c r="A80" s="1" t="s">
        <v>477</v>
      </c>
      <c r="B80" s="1" t="str">
        <f>SUBSTITUTE(ListingTable[[#This Row],[Program]],".zip","_case.pptx")</f>
        <v>FSC18112_980011652_20181214_12_case.pptx</v>
      </c>
      <c r="C80" s="83" t="s">
        <v>799</v>
      </c>
      <c r="D80" s="78"/>
      <c r="E80" s="78"/>
      <c r="F80" s="2" t="s">
        <v>40</v>
      </c>
      <c r="G80" s="3">
        <v>43448</v>
      </c>
      <c r="H80" s="4">
        <v>43454</v>
      </c>
      <c r="I80" s="30" t="s">
        <v>456</v>
      </c>
      <c r="J80" s="4" t="s">
        <v>457</v>
      </c>
      <c r="K80" s="5" t="s">
        <v>69</v>
      </c>
      <c r="L80" s="5" t="s">
        <v>458</v>
      </c>
      <c r="M80" s="5">
        <v>78</v>
      </c>
      <c r="N80" s="5">
        <v>10</v>
      </c>
      <c r="O80" s="5">
        <v>589</v>
      </c>
      <c r="P80" s="5">
        <v>0</v>
      </c>
      <c r="Q80" s="5">
        <v>8355189</v>
      </c>
      <c r="R80" s="5">
        <v>648310</v>
      </c>
      <c r="S80" s="27">
        <v>14185.380305602717</v>
      </c>
      <c r="T80" s="27">
        <v>1100.6960950764008</v>
      </c>
      <c r="U80" s="7">
        <v>7.7593696563895795E-2</v>
      </c>
      <c r="V80" s="7">
        <v>3.1224814596305855E-2</v>
      </c>
      <c r="W80" s="8">
        <v>0.11752618653836516</v>
      </c>
      <c r="X80" s="24">
        <v>0.54954142234250491</v>
      </c>
      <c r="Y80" s="24">
        <v>0.56808499974941107</v>
      </c>
      <c r="Z80" s="24">
        <v>0.14343707713125844</v>
      </c>
      <c r="AA80" s="24">
        <v>0.2884779231193304</v>
      </c>
      <c r="AB80" s="24">
        <v>0.5646534712891268</v>
      </c>
      <c r="AC80" s="24"/>
      <c r="AD80" s="6" t="s">
        <v>57</v>
      </c>
      <c r="AE80" s="6" t="s">
        <v>71</v>
      </c>
      <c r="AF80" t="s">
        <v>478</v>
      </c>
      <c r="AG80" t="s">
        <v>479</v>
      </c>
      <c r="AH80" t="s">
        <v>42</v>
      </c>
    </row>
    <row r="81" spans="1:34" x14ac:dyDescent="0.25">
      <c r="A81" s="1" t="s">
        <v>118</v>
      </c>
      <c r="B81" s="1" t="str">
        <f>SUBSTITUTE(ListingTable[[#This Row],[Program]],".zip","_case.pptx")</f>
        <v>FSC18101_724211_20181115_12_case.pptx</v>
      </c>
      <c r="C81" s="83" t="s">
        <v>800</v>
      </c>
      <c r="D81" s="78"/>
      <c r="E81" s="78"/>
      <c r="F81" s="2" t="s">
        <v>40</v>
      </c>
      <c r="G81" s="3">
        <v>43420</v>
      </c>
      <c r="H81" s="4">
        <v>43426</v>
      </c>
      <c r="I81" s="30" t="s">
        <v>119</v>
      </c>
      <c r="J81" s="4" t="s">
        <v>120</v>
      </c>
      <c r="K81" s="5" t="s">
        <v>93</v>
      </c>
      <c r="L81" s="5" t="s">
        <v>121</v>
      </c>
      <c r="M81" s="5">
        <v>13</v>
      </c>
      <c r="N81" s="5">
        <v>90</v>
      </c>
      <c r="O81" s="5">
        <v>540</v>
      </c>
      <c r="P81" s="5">
        <v>28</v>
      </c>
      <c r="Q81" s="5">
        <v>7013676</v>
      </c>
      <c r="R81" s="5">
        <v>140186</v>
      </c>
      <c r="S81" s="27">
        <v>12988.288888888888</v>
      </c>
      <c r="T81" s="27">
        <v>259.60370370370373</v>
      </c>
      <c r="U81" s="7">
        <v>1.9987521522237411E-2</v>
      </c>
      <c r="V81" s="7">
        <v>3.6811795839040727E-2</v>
      </c>
      <c r="W81" s="8">
        <v>0.11728034287940775</v>
      </c>
      <c r="X81" s="24">
        <v>0.65263978180401327</v>
      </c>
      <c r="Y81" s="24">
        <v>0.46054938632378728</v>
      </c>
      <c r="Z81" s="24">
        <v>0.25501655951685176</v>
      </c>
      <c r="AA81" s="24">
        <v>0.28443405415936102</v>
      </c>
      <c r="AB81" s="24">
        <v>0.21193216369700107</v>
      </c>
      <c r="AC81" s="24">
        <v>-7.6576364853212411E-2</v>
      </c>
      <c r="AD81" s="6" t="s">
        <v>36</v>
      </c>
      <c r="AE81" s="6" t="s">
        <v>37</v>
      </c>
      <c r="AF81" t="s">
        <v>122</v>
      </c>
      <c r="AG81" t="s">
        <v>123</v>
      </c>
      <c r="AH81" t="s">
        <v>48</v>
      </c>
    </row>
    <row r="82" spans="1:34" x14ac:dyDescent="0.25">
      <c r="A82" s="1" t="s">
        <v>482</v>
      </c>
      <c r="B82" s="1" t="str">
        <f>SUBSTITUTE(ListingTable[[#This Row],[Program]],".zip","_case.pptx")</f>
        <v>FSC18109_567934_20190104_12_case.pptx</v>
      </c>
      <c r="C82" s="83" t="s">
        <v>801</v>
      </c>
      <c r="D82" s="78"/>
      <c r="E82" s="78"/>
      <c r="F82" s="2" t="s">
        <v>40</v>
      </c>
      <c r="G82" s="3">
        <v>43469</v>
      </c>
      <c r="H82" s="4">
        <v>43475</v>
      </c>
      <c r="I82" s="30" t="s">
        <v>44</v>
      </c>
      <c r="J82" s="4" t="s">
        <v>45</v>
      </c>
      <c r="K82" s="5" t="s">
        <v>46</v>
      </c>
      <c r="L82" s="5" t="s">
        <v>47</v>
      </c>
      <c r="M82" s="5">
        <v>94</v>
      </c>
      <c r="N82" s="5">
        <v>25</v>
      </c>
      <c r="O82" s="5">
        <v>300</v>
      </c>
      <c r="P82" s="5">
        <v>289</v>
      </c>
      <c r="Q82" s="5">
        <v>3758720</v>
      </c>
      <c r="R82" s="5">
        <v>293361</v>
      </c>
      <c r="S82" s="27">
        <v>12529.066666666668</v>
      </c>
      <c r="T82" s="27">
        <v>977.87</v>
      </c>
      <c r="U82" s="7">
        <v>7.8048112123276003E-2</v>
      </c>
      <c r="V82" s="7">
        <v>2.0078212444898918E-2</v>
      </c>
      <c r="W82" s="8">
        <v>0.11717136958017894</v>
      </c>
      <c r="X82" s="24">
        <v>0.20320027529249829</v>
      </c>
      <c r="Y82" s="24">
        <v>0.48004129387474193</v>
      </c>
      <c r="Z82" s="24">
        <v>0.13368891947694425</v>
      </c>
      <c r="AA82" s="24">
        <v>0.38626978664831385</v>
      </c>
      <c r="AB82" s="24">
        <v>6.4027606093325806E-2</v>
      </c>
      <c r="AC82" s="24">
        <v>-7.5432320449058173E-3</v>
      </c>
      <c r="AD82" s="6" t="s">
        <v>36</v>
      </c>
      <c r="AE82" s="6" t="s">
        <v>41</v>
      </c>
      <c r="AF82" t="s">
        <v>483</v>
      </c>
      <c r="AG82" t="s">
        <v>484</v>
      </c>
      <c r="AH82" t="s">
        <v>48</v>
      </c>
    </row>
    <row r="83" spans="1:34" x14ac:dyDescent="0.25">
      <c r="A83" s="1" t="s">
        <v>471</v>
      </c>
      <c r="B83" s="1" t="str">
        <f>SUBSTITUTE(ListingTable[[#This Row],[Program]],".zip","_case.pptx")</f>
        <v>FSC18015_567934_20180330_12_case.pptx</v>
      </c>
      <c r="C83" s="83" t="s">
        <v>802</v>
      </c>
      <c r="D83" s="78"/>
      <c r="E83" s="78"/>
      <c r="F83" s="2" t="s">
        <v>40</v>
      </c>
      <c r="G83" s="3">
        <v>43189</v>
      </c>
      <c r="H83" s="4">
        <v>43195</v>
      </c>
      <c r="I83" s="30" t="s">
        <v>44</v>
      </c>
      <c r="J83" s="4" t="s">
        <v>45</v>
      </c>
      <c r="K83" s="5" t="s">
        <v>46</v>
      </c>
      <c r="L83" s="5" t="s">
        <v>47</v>
      </c>
      <c r="M83" s="5">
        <v>94</v>
      </c>
      <c r="N83" s="5">
        <v>25</v>
      </c>
      <c r="O83" s="5">
        <v>150</v>
      </c>
      <c r="P83" s="5">
        <v>439</v>
      </c>
      <c r="Q83" s="5">
        <v>1642840</v>
      </c>
      <c r="R83" s="5">
        <v>157995</v>
      </c>
      <c r="S83" s="27">
        <v>10952.266666666666</v>
      </c>
      <c r="T83" s="27">
        <v>1053.3</v>
      </c>
      <c r="U83" s="7">
        <v>9.617187309780624E-2</v>
      </c>
      <c r="V83" s="7">
        <v>1.9680377863254973E-2</v>
      </c>
      <c r="W83" s="8">
        <v>0.11707317073170732</v>
      </c>
      <c r="X83" s="24">
        <v>0.29560975609756096</v>
      </c>
      <c r="Y83" s="24">
        <v>0.3902439024390244</v>
      </c>
      <c r="Z83" s="24">
        <v>0.19382113821138211</v>
      </c>
      <c r="AA83" s="24">
        <v>0.41593495934959351</v>
      </c>
      <c r="AB83" s="24">
        <v>0.1002257026613122</v>
      </c>
      <c r="AC83" s="24">
        <v>1.7724828254078839E-2</v>
      </c>
      <c r="AD83" s="6" t="s">
        <v>36</v>
      </c>
      <c r="AE83" s="6" t="s">
        <v>41</v>
      </c>
      <c r="AF83" t="s">
        <v>472</v>
      </c>
      <c r="AG83" t="s">
        <v>473</v>
      </c>
      <c r="AH83" t="s">
        <v>48</v>
      </c>
    </row>
    <row r="84" spans="1:34" x14ac:dyDescent="0.25">
      <c r="A84" s="1" t="s">
        <v>327</v>
      </c>
      <c r="B84" s="1" t="str">
        <f>SUBSTITUTE(ListingTable[[#This Row],[Program]],".zip","_case.pptx")</f>
        <v>FSC18084_567934_20181019_12_case.pptx</v>
      </c>
      <c r="C84" s="83" t="s">
        <v>803</v>
      </c>
      <c r="D84" s="78"/>
      <c r="E84" s="78"/>
      <c r="F84" s="2" t="s">
        <v>40</v>
      </c>
      <c r="G84" s="3">
        <v>43392</v>
      </c>
      <c r="H84" s="4">
        <v>43398</v>
      </c>
      <c r="I84" s="30" t="s">
        <v>44</v>
      </c>
      <c r="J84" s="4" t="s">
        <v>45</v>
      </c>
      <c r="K84" s="5" t="s">
        <v>46</v>
      </c>
      <c r="L84" s="5" t="s">
        <v>47</v>
      </c>
      <c r="M84" s="5">
        <v>94</v>
      </c>
      <c r="N84" s="5">
        <v>25</v>
      </c>
      <c r="O84" s="5">
        <v>189</v>
      </c>
      <c r="P84" s="5">
        <v>400</v>
      </c>
      <c r="Q84" s="5">
        <v>2530519</v>
      </c>
      <c r="R84" s="5">
        <v>150858</v>
      </c>
      <c r="S84" s="27">
        <v>13388.989417989418</v>
      </c>
      <c r="T84" s="27">
        <v>798.19047619047615</v>
      </c>
      <c r="U84" s="7">
        <v>5.9615438572087384E-2</v>
      </c>
      <c r="V84" s="7">
        <v>1.9341774195718572E-2</v>
      </c>
      <c r="W84" s="8">
        <v>0.11443478260869565</v>
      </c>
      <c r="X84" s="24">
        <v>0.27547826086956523</v>
      </c>
      <c r="Y84" s="24">
        <v>0.48139130434782607</v>
      </c>
      <c r="Z84" s="24">
        <v>0.12278260869565218</v>
      </c>
      <c r="AA84" s="24">
        <v>0.39582608695652172</v>
      </c>
      <c r="AB84" s="24">
        <v>9.7106900731935814E-2</v>
      </c>
      <c r="AC84" s="24">
        <v>9.4899910561788616E-3</v>
      </c>
      <c r="AD84" s="6" t="s">
        <v>36</v>
      </c>
      <c r="AE84" s="6" t="s">
        <v>71</v>
      </c>
      <c r="AF84" t="s">
        <v>328</v>
      </c>
      <c r="AG84" t="s">
        <v>329</v>
      </c>
      <c r="AH84" t="s">
        <v>48</v>
      </c>
    </row>
    <row r="85" spans="1:34" x14ac:dyDescent="0.25">
      <c r="A85" s="1" t="s">
        <v>618</v>
      </c>
      <c r="B85" s="29" t="str">
        <f>SUBSTITUTE(ListingTable[[#This Row],[Program]],".zip","_case.pptx")</f>
        <v>FSC19019_944440_20190510_12_case.pptx</v>
      </c>
      <c r="C85" s="84" t="s">
        <v>804</v>
      </c>
      <c r="D85" s="78"/>
      <c r="E85" s="78"/>
      <c r="F85" s="2" t="s">
        <v>40</v>
      </c>
      <c r="G85" s="3">
        <v>43595</v>
      </c>
      <c r="H85" s="4">
        <v>43601</v>
      </c>
      <c r="I85" s="30">
        <v>944440</v>
      </c>
      <c r="J85" s="4" t="s">
        <v>90</v>
      </c>
      <c r="K85" s="5" t="s">
        <v>77</v>
      </c>
      <c r="L85" s="5" t="s">
        <v>78</v>
      </c>
      <c r="M85" s="5">
        <v>2</v>
      </c>
      <c r="N85" s="5">
        <v>10</v>
      </c>
      <c r="O85" s="5">
        <v>384</v>
      </c>
      <c r="P85" s="5">
        <v>204</v>
      </c>
      <c r="Q85" s="5">
        <v>4798578</v>
      </c>
      <c r="R85" s="5">
        <v>207238</v>
      </c>
      <c r="S85" s="27">
        <v>12496.296875</v>
      </c>
      <c r="T85" s="27">
        <v>539.68229166666663</v>
      </c>
      <c r="U85" s="7">
        <v>4.2999999999999997E-2</v>
      </c>
      <c r="V85" s="7">
        <v>0.03</v>
      </c>
      <c r="W85" s="8">
        <v>0.114</v>
      </c>
      <c r="X85" s="24">
        <v>0.253</v>
      </c>
      <c r="Y85" s="24">
        <v>0.53</v>
      </c>
      <c r="Z85" s="24">
        <v>0.08</v>
      </c>
      <c r="AA85" s="24">
        <v>0.38</v>
      </c>
      <c r="AB85" s="24">
        <v>0.11</v>
      </c>
      <c r="AC85" s="24">
        <v>-0.05</v>
      </c>
      <c r="AD85" s="6" t="s">
        <v>36</v>
      </c>
      <c r="AE85" s="6" t="s">
        <v>641</v>
      </c>
      <c r="AF85" t="s">
        <v>648</v>
      </c>
      <c r="AG85" t="str">
        <f>+_xlfn.CONCAT(ListingTable[[#This Row],[Program2]],ListingTable[[#This Row],[Start date]])</f>
        <v>FSC1901943595</v>
      </c>
      <c r="AH85" t="s">
        <v>48</v>
      </c>
    </row>
    <row r="86" spans="1:34" x14ac:dyDescent="0.25">
      <c r="A86" s="1" t="s">
        <v>375</v>
      </c>
      <c r="B86" s="1" t="str">
        <f>SUBSTITUTE(ListingTable[[#This Row],[Program]],".zip","_case.pptx")</f>
        <v>FSC18083_980114984_20181109_12_case.pptx</v>
      </c>
      <c r="C86" s="83" t="s">
        <v>805</v>
      </c>
      <c r="D86" s="78"/>
      <c r="E86" s="78"/>
      <c r="F86" s="2" t="s">
        <v>40</v>
      </c>
      <c r="G86" s="3">
        <v>43413</v>
      </c>
      <c r="H86" s="4">
        <v>43419</v>
      </c>
      <c r="I86" s="30" t="s">
        <v>67</v>
      </c>
      <c r="J86" s="4" t="s">
        <v>68</v>
      </c>
      <c r="K86" s="5" t="s">
        <v>69</v>
      </c>
      <c r="L86" s="5" t="s">
        <v>70</v>
      </c>
      <c r="M86" s="5">
        <v>78</v>
      </c>
      <c r="N86" s="5">
        <v>1</v>
      </c>
      <c r="O86" s="5">
        <v>32</v>
      </c>
      <c r="P86" s="5">
        <v>278</v>
      </c>
      <c r="Q86" s="5">
        <v>424062</v>
      </c>
      <c r="R86" s="5">
        <v>50863</v>
      </c>
      <c r="S86" s="27">
        <v>13251.9375</v>
      </c>
      <c r="T86" s="27">
        <v>1589.46875</v>
      </c>
      <c r="U86" s="7">
        <v>0.11994236691804501</v>
      </c>
      <c r="V86" s="7">
        <v>1.7745261321278454E-2</v>
      </c>
      <c r="W86" s="8">
        <v>0.11396648044692738</v>
      </c>
      <c r="X86" s="24">
        <v>0.64469273743016764</v>
      </c>
      <c r="Y86" s="24">
        <v>0.67932960893854744</v>
      </c>
      <c r="Z86" s="24">
        <v>0.17206703910614526</v>
      </c>
      <c r="AA86" s="24">
        <v>0.14860335195530727</v>
      </c>
      <c r="AB86" s="24">
        <v>1.3592035777176665</v>
      </c>
      <c r="AC86" s="24">
        <v>-5.7437766573194972E-2</v>
      </c>
      <c r="AD86" s="6" t="s">
        <v>57</v>
      </c>
      <c r="AE86" s="6" t="s">
        <v>71</v>
      </c>
      <c r="AF86" t="s">
        <v>376</v>
      </c>
      <c r="AG86" t="s">
        <v>377</v>
      </c>
      <c r="AH86" t="s">
        <v>42</v>
      </c>
    </row>
    <row r="87" spans="1:34" x14ac:dyDescent="0.25">
      <c r="A87" s="1" t="s">
        <v>396</v>
      </c>
      <c r="B87" s="1" t="str">
        <f>SUBSTITUTE(ListingTable[[#This Row],[Program]],".zip","_case.pptx")</f>
        <v>FSC18028_839559_20180615_12_case.pptx</v>
      </c>
      <c r="C87" s="83" t="s">
        <v>806</v>
      </c>
      <c r="D87" s="78"/>
      <c r="E87" s="78"/>
      <c r="F87" s="2" t="s">
        <v>40</v>
      </c>
      <c r="G87" s="3">
        <v>43266</v>
      </c>
      <c r="H87" s="4">
        <v>43272</v>
      </c>
      <c r="I87" s="30" t="s">
        <v>397</v>
      </c>
      <c r="J87" s="4" t="s">
        <v>398</v>
      </c>
      <c r="K87" s="5" t="s">
        <v>84</v>
      </c>
      <c r="L87" s="5" t="s">
        <v>399</v>
      </c>
      <c r="M87" s="5">
        <v>1</v>
      </c>
      <c r="N87" s="5">
        <v>32</v>
      </c>
      <c r="O87" s="5">
        <v>21</v>
      </c>
      <c r="P87" s="5">
        <v>539</v>
      </c>
      <c r="Q87" s="5">
        <v>236805</v>
      </c>
      <c r="R87" s="5">
        <v>28037</v>
      </c>
      <c r="S87" s="27">
        <v>11276.428571428571</v>
      </c>
      <c r="T87" s="27">
        <v>1335.0952380952381</v>
      </c>
      <c r="U87" s="7">
        <v>0.11839699330672916</v>
      </c>
      <c r="V87" s="7">
        <v>2.8692498294250728E-2</v>
      </c>
      <c r="W87" s="8">
        <v>0.11389236545682102</v>
      </c>
      <c r="X87" s="24">
        <v>0.65707133917396743</v>
      </c>
      <c r="Y87" s="24">
        <v>0.7571964956195244</v>
      </c>
      <c r="Z87" s="24">
        <v>4.7559449311639551E-2</v>
      </c>
      <c r="AA87" s="24">
        <v>0.19524405506883605</v>
      </c>
      <c r="AB87" s="24">
        <v>0.74057909630529917</v>
      </c>
      <c r="AC87" s="24">
        <v>-9.3710933628700071E-3</v>
      </c>
      <c r="AD87" s="6" t="s">
        <v>57</v>
      </c>
      <c r="AE87" s="6" t="s">
        <v>41</v>
      </c>
      <c r="AF87" t="s">
        <v>400</v>
      </c>
      <c r="AG87" t="s">
        <v>401</v>
      </c>
      <c r="AH87" t="s">
        <v>42</v>
      </c>
    </row>
    <row r="88" spans="1:34" x14ac:dyDescent="0.25">
      <c r="A88" s="1" t="s">
        <v>182</v>
      </c>
      <c r="B88" s="1" t="str">
        <f>SUBSTITUTE(ListingTable[[#This Row],[Program]],".zip","_case.pptx")</f>
        <v>FSC18088_850799_20181026_12_case.pptx</v>
      </c>
      <c r="C88" s="83" t="s">
        <v>807</v>
      </c>
      <c r="D88" s="78"/>
      <c r="E88" s="78"/>
      <c r="F88" s="2" t="s">
        <v>40</v>
      </c>
      <c r="G88" s="3">
        <v>43399</v>
      </c>
      <c r="H88" s="4">
        <v>43405</v>
      </c>
      <c r="I88" s="30" t="s">
        <v>183</v>
      </c>
      <c r="J88" s="4" t="s">
        <v>184</v>
      </c>
      <c r="K88" s="5" t="s">
        <v>69</v>
      </c>
      <c r="L88" s="5" t="s">
        <v>185</v>
      </c>
      <c r="M88" s="5">
        <v>78</v>
      </c>
      <c r="N88" s="5">
        <v>70</v>
      </c>
      <c r="O88" s="5">
        <v>333</v>
      </c>
      <c r="P88" s="5">
        <v>256</v>
      </c>
      <c r="Q88" s="5">
        <v>3853128</v>
      </c>
      <c r="R88" s="5">
        <v>588176</v>
      </c>
      <c r="S88" s="27">
        <v>11570.954954954956</v>
      </c>
      <c r="T88" s="27">
        <v>1766.2942942942943</v>
      </c>
      <c r="U88" s="7">
        <v>0.15264896468531541</v>
      </c>
      <c r="V88" s="7">
        <v>2.6482067975306209E-2</v>
      </c>
      <c r="W88" s="8">
        <v>0.11365564037319763</v>
      </c>
      <c r="X88" s="24">
        <v>0.35669080707248646</v>
      </c>
      <c r="Y88" s="24">
        <v>0.56358060938213606</v>
      </c>
      <c r="Z88" s="24">
        <v>0.14321132641743328</v>
      </c>
      <c r="AA88" s="24">
        <v>0.29320806420043061</v>
      </c>
      <c r="AB88" s="24">
        <v>0.29999177590698112</v>
      </c>
      <c r="AC88" s="24">
        <v>-2.5259356703442728E-2</v>
      </c>
      <c r="AD88" s="6" t="s">
        <v>36</v>
      </c>
      <c r="AE88" s="6" t="s">
        <v>71</v>
      </c>
      <c r="AF88" t="s">
        <v>164</v>
      </c>
      <c r="AG88" t="s">
        <v>165</v>
      </c>
      <c r="AH88" t="s">
        <v>42</v>
      </c>
    </row>
    <row r="89" spans="1:34" x14ac:dyDescent="0.25">
      <c r="A89" s="1" t="s">
        <v>537</v>
      </c>
      <c r="B89" s="1" t="str">
        <f>SUBSTITUTE(ListingTable[[#This Row],[Program]],".zip","_case.pptx")</f>
        <v>FSC18095_990694_20181123_12_case.pptx</v>
      </c>
      <c r="C89" s="83" t="s">
        <v>808</v>
      </c>
      <c r="D89" s="78"/>
      <c r="E89" s="78"/>
      <c r="F89" s="2" t="s">
        <v>40</v>
      </c>
      <c r="G89" s="3">
        <v>43427</v>
      </c>
      <c r="H89" s="4">
        <v>43433</v>
      </c>
      <c r="I89" s="30" t="s">
        <v>538</v>
      </c>
      <c r="J89" s="4" t="s">
        <v>539</v>
      </c>
      <c r="K89" s="5" t="s">
        <v>55</v>
      </c>
      <c r="L89" s="5" t="s">
        <v>540</v>
      </c>
      <c r="M89" s="5">
        <v>41</v>
      </c>
      <c r="N89" s="5">
        <v>75</v>
      </c>
      <c r="O89" s="5">
        <v>276</v>
      </c>
      <c r="P89" s="5">
        <v>24</v>
      </c>
      <c r="Q89" s="5">
        <v>3259600</v>
      </c>
      <c r="R89" s="5">
        <v>303140</v>
      </c>
      <c r="S89" s="27">
        <v>11810.144927536232</v>
      </c>
      <c r="T89" s="27">
        <v>1098.3333333333333</v>
      </c>
      <c r="U89" s="7">
        <v>9.2999140998895571E-2</v>
      </c>
      <c r="V89" s="7">
        <v>3.7396972146837126E-2</v>
      </c>
      <c r="W89" s="8">
        <v>0.11257624686042339</v>
      </c>
      <c r="X89" s="24">
        <v>0.55543595263724432</v>
      </c>
      <c r="Y89" s="24">
        <v>0.87630068173663433</v>
      </c>
      <c r="Z89" s="24">
        <v>6.4944384642985284E-2</v>
      </c>
      <c r="AA89" s="24">
        <v>5.875493362038034E-2</v>
      </c>
      <c r="AB89" s="24">
        <v>1.696955832250951</v>
      </c>
      <c r="AC89" s="24">
        <v>-0.16900769877497474</v>
      </c>
      <c r="AD89" s="6" t="s">
        <v>57</v>
      </c>
      <c r="AE89" s="6" t="s">
        <v>41</v>
      </c>
      <c r="AF89" t="s">
        <v>541</v>
      </c>
      <c r="AG89" t="s">
        <v>542</v>
      </c>
      <c r="AH89" t="s">
        <v>42</v>
      </c>
    </row>
    <row r="90" spans="1:34" x14ac:dyDescent="0.25">
      <c r="A90" s="1" t="s">
        <v>441</v>
      </c>
      <c r="B90" s="1" t="str">
        <f>SUBSTITUTE(ListingTable[[#This Row],[Program]],".zip","_case.pptx")</f>
        <v>FSC18063_713998_20190308_12_case.pptx</v>
      </c>
      <c r="C90" s="83" t="s">
        <v>809</v>
      </c>
      <c r="D90" s="78"/>
      <c r="E90" s="78"/>
      <c r="F90" s="2" t="s">
        <v>40</v>
      </c>
      <c r="G90" s="3">
        <v>43532</v>
      </c>
      <c r="H90" s="4">
        <v>43538</v>
      </c>
      <c r="I90" s="30" t="s">
        <v>442</v>
      </c>
      <c r="J90" s="4" t="s">
        <v>443</v>
      </c>
      <c r="K90" s="5" t="s">
        <v>34</v>
      </c>
      <c r="L90" s="5" t="s">
        <v>444</v>
      </c>
      <c r="M90" s="5">
        <v>54</v>
      </c>
      <c r="N90" s="5">
        <v>12</v>
      </c>
      <c r="O90" s="5">
        <v>140</v>
      </c>
      <c r="P90" s="5">
        <v>445</v>
      </c>
      <c r="Q90" s="5">
        <v>1642237</v>
      </c>
      <c r="R90" s="5">
        <v>114950</v>
      </c>
      <c r="S90" s="27">
        <v>11730.264285714286</v>
      </c>
      <c r="T90" s="27">
        <v>821.07142857142856</v>
      </c>
      <c r="U90" s="7">
        <v>6.9995987180900193E-2</v>
      </c>
      <c r="V90" s="7">
        <v>2.130801128175203E-3</v>
      </c>
      <c r="W90" s="8">
        <v>0.11203319502074689</v>
      </c>
      <c r="X90" s="24">
        <v>0.26970954356846472</v>
      </c>
      <c r="Y90" s="24">
        <v>0.56431535269709543</v>
      </c>
      <c r="Z90" s="24">
        <v>0.12033195020746888</v>
      </c>
      <c r="AA90" s="24">
        <v>0.31535269709543567</v>
      </c>
      <c r="AB90" s="24">
        <v>-0.40906905238925029</v>
      </c>
      <c r="AC90" s="24">
        <v>-0.45212398604737924</v>
      </c>
      <c r="AD90" s="6" t="s">
        <v>36</v>
      </c>
      <c r="AE90" s="6" t="s">
        <v>41</v>
      </c>
      <c r="AF90" t="s">
        <v>437</v>
      </c>
      <c r="AG90" t="s">
        <v>438</v>
      </c>
      <c r="AH90" t="s">
        <v>34</v>
      </c>
    </row>
    <row r="91" spans="1:34" x14ac:dyDescent="0.25">
      <c r="A91" s="1" t="s">
        <v>582</v>
      </c>
      <c r="B91" s="1" t="str">
        <f>SUBSTITUTE(ListingTable[[#This Row],[Program]],".zip","_case.pptx")</f>
        <v>FSC18015_567934_20180518_12_case.pptx</v>
      </c>
      <c r="C91" s="83" t="s">
        <v>810</v>
      </c>
      <c r="D91" s="78"/>
      <c r="E91" s="78"/>
      <c r="F91" s="2" t="s">
        <v>40</v>
      </c>
      <c r="G91" s="3">
        <v>43238</v>
      </c>
      <c r="H91" s="4">
        <v>43244</v>
      </c>
      <c r="I91" s="30" t="s">
        <v>44</v>
      </c>
      <c r="J91" s="4" t="s">
        <v>45</v>
      </c>
      <c r="K91" s="5" t="s">
        <v>46</v>
      </c>
      <c r="L91" s="5" t="s">
        <v>47</v>
      </c>
      <c r="M91" s="5">
        <v>94</v>
      </c>
      <c r="N91" s="5">
        <v>25</v>
      </c>
      <c r="O91" s="5">
        <v>150</v>
      </c>
      <c r="P91" s="5">
        <v>439</v>
      </c>
      <c r="Q91" s="5">
        <v>1950878</v>
      </c>
      <c r="R91" s="5">
        <v>169413</v>
      </c>
      <c r="S91" s="27">
        <v>13005.853333333333</v>
      </c>
      <c r="T91" s="27">
        <v>1129.42</v>
      </c>
      <c r="U91" s="7">
        <v>8.6839361559256908E-2</v>
      </c>
      <c r="V91" s="7">
        <v>2.0065173018847655E-2</v>
      </c>
      <c r="W91" s="8">
        <v>0.11124330755502677</v>
      </c>
      <c r="X91" s="24">
        <v>0.29892920880428314</v>
      </c>
      <c r="Y91" s="24">
        <v>0.38964901844140393</v>
      </c>
      <c r="Z91" s="24">
        <v>0.17638310529446757</v>
      </c>
      <c r="AA91" s="24">
        <v>0.43396787626412847</v>
      </c>
      <c r="AB91" s="24">
        <v>-1.7201765740148638E-2</v>
      </c>
      <c r="AC91" s="24">
        <v>-0.10600779705643464</v>
      </c>
      <c r="AD91" s="6" t="s">
        <v>36</v>
      </c>
      <c r="AE91" s="6" t="s">
        <v>41</v>
      </c>
      <c r="AF91" t="s">
        <v>472</v>
      </c>
      <c r="AG91" t="s">
        <v>580</v>
      </c>
      <c r="AH91" t="s">
        <v>48</v>
      </c>
    </row>
    <row r="92" spans="1:34" x14ac:dyDescent="0.25">
      <c r="A92" s="1" t="s">
        <v>492</v>
      </c>
      <c r="B92" s="1" t="str">
        <f>SUBSTITUTE(ListingTable[[#This Row],[Program]],".zip","_case.pptx")</f>
        <v>FSC18054_434023_20181130_12_case.pptx</v>
      </c>
      <c r="C92" s="83" t="s">
        <v>811</v>
      </c>
      <c r="D92" s="78"/>
      <c r="E92" s="78"/>
      <c r="F92" s="2" t="s">
        <v>40</v>
      </c>
      <c r="G92" s="3">
        <v>43434</v>
      </c>
      <c r="H92" s="4">
        <v>43440</v>
      </c>
      <c r="I92" s="30" t="s">
        <v>493</v>
      </c>
      <c r="J92" s="4" t="s">
        <v>494</v>
      </c>
      <c r="K92" s="5" t="s">
        <v>93</v>
      </c>
      <c r="L92" s="5" t="s">
        <v>121</v>
      </c>
      <c r="M92" s="5">
        <v>13</v>
      </c>
      <c r="N92" s="5">
        <v>90</v>
      </c>
      <c r="O92" s="5">
        <v>589</v>
      </c>
      <c r="P92" s="5">
        <v>0</v>
      </c>
      <c r="Q92" s="5">
        <v>7339103</v>
      </c>
      <c r="R92" s="5">
        <v>691940</v>
      </c>
      <c r="S92" s="27">
        <v>12460.27674023769</v>
      </c>
      <c r="T92" s="27">
        <v>1174.7707979626487</v>
      </c>
      <c r="U92" s="7">
        <v>9.4281276608326664E-2</v>
      </c>
      <c r="V92" s="7">
        <v>5.65762407918564E-2</v>
      </c>
      <c r="W92" s="8">
        <v>0.10860783095090118</v>
      </c>
      <c r="X92" s="24">
        <v>0.52965092189765905</v>
      </c>
      <c r="Y92" s="24">
        <v>0.56779573233892688</v>
      </c>
      <c r="Z92" s="24">
        <v>0.25310752019888128</v>
      </c>
      <c r="AA92" s="24">
        <v>0.17909674746219184</v>
      </c>
      <c r="AB92" s="24">
        <v>0.80904239192814753</v>
      </c>
      <c r="AC92" s="24"/>
      <c r="AD92" s="6" t="s">
        <v>57</v>
      </c>
      <c r="AE92" s="6" t="s">
        <v>41</v>
      </c>
      <c r="AF92" t="s">
        <v>488</v>
      </c>
      <c r="AG92" t="s">
        <v>489</v>
      </c>
      <c r="AH92" t="s">
        <v>48</v>
      </c>
    </row>
    <row r="93" spans="1:34" ht="45" x14ac:dyDescent="0.25">
      <c r="A93" s="1" t="s">
        <v>31</v>
      </c>
      <c r="B93" s="1" t="str">
        <f>SUBSTITUTE(ListingTable[[#This Row],[Program]],".zip","_case.pptx")</f>
        <v>FSC18113_281210_20181207_12_case.pptx</v>
      </c>
      <c r="C93" s="83" t="s">
        <v>812</v>
      </c>
      <c r="D93" s="78" t="s">
        <v>710</v>
      </c>
      <c r="E93" s="78" t="s">
        <v>711</v>
      </c>
      <c r="F93" s="2" t="s">
        <v>40</v>
      </c>
      <c r="G93" s="3">
        <v>43441</v>
      </c>
      <c r="H93" s="4">
        <v>43447</v>
      </c>
      <c r="I93" s="30" t="s">
        <v>32</v>
      </c>
      <c r="J93" s="4" t="s">
        <v>33</v>
      </c>
      <c r="K93" s="5" t="s">
        <v>34</v>
      </c>
      <c r="L93" s="5" t="s">
        <v>35</v>
      </c>
      <c r="M93" s="5">
        <v>54</v>
      </c>
      <c r="N93" s="5">
        <v>15</v>
      </c>
      <c r="O93" s="5">
        <v>41</v>
      </c>
      <c r="P93" s="5">
        <v>480</v>
      </c>
      <c r="Q93" s="5">
        <v>474594</v>
      </c>
      <c r="R93" s="5">
        <v>6486</v>
      </c>
      <c r="S93" s="27">
        <v>11575.463414634147</v>
      </c>
      <c r="T93" s="27">
        <v>158.19512195121951</v>
      </c>
      <c r="U93" s="7">
        <v>1.3666418033097764E-2</v>
      </c>
      <c r="V93" s="7">
        <v>5.2818532818532819E-2</v>
      </c>
      <c r="W93" s="8">
        <v>0.10818713450292397</v>
      </c>
      <c r="X93" s="24">
        <v>0.83625730994152048</v>
      </c>
      <c r="Y93" s="24">
        <v>0.74269005847953218</v>
      </c>
      <c r="Z93" s="24">
        <v>0.11403508771929824</v>
      </c>
      <c r="AA93" s="24">
        <v>0.14327485380116958</v>
      </c>
      <c r="AB93" s="24">
        <v>1.1422804185931741</v>
      </c>
      <c r="AC93" s="24">
        <v>-9.3417854714330839E-2</v>
      </c>
      <c r="AD93" s="6" t="s">
        <v>36</v>
      </c>
      <c r="AE93" s="6" t="s">
        <v>37</v>
      </c>
      <c r="AF93" t="s">
        <v>38</v>
      </c>
      <c r="AG93" t="s">
        <v>39</v>
      </c>
      <c r="AH93" t="s">
        <v>34</v>
      </c>
    </row>
    <row r="94" spans="1:34" x14ac:dyDescent="0.25">
      <c r="A94" s="1" t="s">
        <v>65</v>
      </c>
      <c r="B94" s="1" t="str">
        <f>SUBSTITUTE(ListingTable[[#This Row],[Program]],".zip","_case.pptx")</f>
        <v>FSC18113_567934_20181123_12_case.pptx</v>
      </c>
      <c r="C94" s="83" t="s">
        <v>813</v>
      </c>
      <c r="D94" s="78"/>
      <c r="E94" s="78"/>
      <c r="F94" s="2" t="s">
        <v>40</v>
      </c>
      <c r="G94" s="3">
        <v>43427</v>
      </c>
      <c r="H94" s="4">
        <v>43433</v>
      </c>
      <c r="I94" s="30" t="s">
        <v>44</v>
      </c>
      <c r="J94" s="4" t="s">
        <v>45</v>
      </c>
      <c r="K94" s="5" t="s">
        <v>46</v>
      </c>
      <c r="L94" s="5" t="s">
        <v>47</v>
      </c>
      <c r="M94" s="5">
        <v>94</v>
      </c>
      <c r="N94" s="5">
        <v>25</v>
      </c>
      <c r="O94" s="5">
        <v>151</v>
      </c>
      <c r="P94" s="5">
        <v>438</v>
      </c>
      <c r="Q94" s="5">
        <v>1672974</v>
      </c>
      <c r="R94" s="5">
        <v>25181</v>
      </c>
      <c r="S94" s="27">
        <v>11079.298013245034</v>
      </c>
      <c r="T94" s="27">
        <v>166.76158940397352</v>
      </c>
      <c r="U94" s="7">
        <v>1.5051638578961777E-2</v>
      </c>
      <c r="V94" s="7">
        <v>1.8788313032401877E-2</v>
      </c>
      <c r="W94" s="8">
        <v>0.10805084745762712</v>
      </c>
      <c r="X94" s="24">
        <v>0.17796610169491525</v>
      </c>
      <c r="Y94" s="24">
        <v>0.53813559322033899</v>
      </c>
      <c r="Z94" s="24">
        <v>9.7457627118644072E-2</v>
      </c>
      <c r="AA94" s="24">
        <v>0.36440677966101692</v>
      </c>
      <c r="AB94" s="24">
        <v>-6.0320170817465188E-4</v>
      </c>
      <c r="AC94" s="24">
        <v>-6.6041858317219634E-2</v>
      </c>
      <c r="AD94" s="6" t="s">
        <v>36</v>
      </c>
      <c r="AE94" s="6" t="s">
        <v>37</v>
      </c>
      <c r="AF94" t="s">
        <v>38</v>
      </c>
      <c r="AG94" t="s">
        <v>61</v>
      </c>
      <c r="AH94" t="s">
        <v>48</v>
      </c>
    </row>
    <row r="95" spans="1:34" x14ac:dyDescent="0.25">
      <c r="A95" s="1" t="s">
        <v>429</v>
      </c>
      <c r="B95" s="1" t="str">
        <f>SUBSTITUTE(ListingTable[[#This Row],[Program]],".zip","_case.pptx")</f>
        <v>FSC18028_839559_20180504_12_case.pptx</v>
      </c>
      <c r="C95" s="83" t="s">
        <v>814</v>
      </c>
      <c r="D95" s="78"/>
      <c r="E95" s="78"/>
      <c r="F95" s="2" t="s">
        <v>40</v>
      </c>
      <c r="G95" s="3">
        <v>43224</v>
      </c>
      <c r="H95" s="4">
        <v>43230</v>
      </c>
      <c r="I95" s="30" t="s">
        <v>397</v>
      </c>
      <c r="J95" s="4" t="s">
        <v>398</v>
      </c>
      <c r="K95" s="5" t="s">
        <v>84</v>
      </c>
      <c r="L95" s="5" t="s">
        <v>399</v>
      </c>
      <c r="M95" s="5">
        <v>1</v>
      </c>
      <c r="N95" s="5">
        <v>32</v>
      </c>
      <c r="O95" s="5">
        <v>560</v>
      </c>
      <c r="P95" s="5">
        <v>0</v>
      </c>
      <c r="Q95" s="5">
        <v>6926166</v>
      </c>
      <c r="R95" s="5">
        <v>773196</v>
      </c>
      <c r="S95" s="27">
        <v>12368.153571428571</v>
      </c>
      <c r="T95" s="27">
        <v>1380.7071428571428</v>
      </c>
      <c r="U95" s="7">
        <v>0.11163405555107977</v>
      </c>
      <c r="V95" s="7">
        <v>2.3205466654770465E-2</v>
      </c>
      <c r="W95" s="8">
        <v>0.10765577292773945</v>
      </c>
      <c r="X95" s="24">
        <v>0.67103924007689697</v>
      </c>
      <c r="Y95" s="24">
        <v>0.73866334954201063</v>
      </c>
      <c r="Z95" s="24">
        <v>5.642881375098948E-2</v>
      </c>
      <c r="AA95" s="24">
        <v>0.20490783670699989</v>
      </c>
      <c r="AB95" s="24">
        <v>0.7817053578163512</v>
      </c>
      <c r="AC95" s="24"/>
      <c r="AD95" s="6" t="s">
        <v>57</v>
      </c>
      <c r="AE95" s="6" t="s">
        <v>41</v>
      </c>
      <c r="AF95" t="s">
        <v>400</v>
      </c>
      <c r="AG95" t="s">
        <v>430</v>
      </c>
      <c r="AH95" t="s">
        <v>42</v>
      </c>
    </row>
    <row r="96" spans="1:34" x14ac:dyDescent="0.25">
      <c r="A96" s="1" t="s">
        <v>490</v>
      </c>
      <c r="B96" s="1" t="str">
        <f>SUBSTITUTE(ListingTable[[#This Row],[Program]],".zip","_case.pptx")</f>
        <v>FSC18109_980140785_20190104_12_case.pptx</v>
      </c>
      <c r="C96" s="83" t="s">
        <v>815</v>
      </c>
      <c r="D96" s="78"/>
      <c r="E96" s="78"/>
      <c r="F96" s="2" t="s">
        <v>40</v>
      </c>
      <c r="G96" s="3">
        <v>43469</v>
      </c>
      <c r="H96" s="4">
        <v>43475</v>
      </c>
      <c r="I96" s="30" t="s">
        <v>491</v>
      </c>
      <c r="J96" s="4" t="s">
        <v>196</v>
      </c>
      <c r="K96" s="5" t="s">
        <v>34</v>
      </c>
      <c r="L96" s="5" t="s">
        <v>101</v>
      </c>
      <c r="M96" s="5">
        <v>54</v>
      </c>
      <c r="N96" s="5">
        <v>10</v>
      </c>
      <c r="O96" s="5">
        <v>300</v>
      </c>
      <c r="P96" s="5">
        <v>180</v>
      </c>
      <c r="Q96" s="5">
        <v>3758720</v>
      </c>
      <c r="R96" s="5">
        <v>293361</v>
      </c>
      <c r="S96" s="27">
        <v>12529.066666666668</v>
      </c>
      <c r="T96" s="27">
        <v>977.87</v>
      </c>
      <c r="U96" s="7">
        <v>7.8048112123276003E-2</v>
      </c>
      <c r="V96" s="7">
        <v>8.3636187765141565E-3</v>
      </c>
      <c r="W96" s="8">
        <v>0.10698058653448989</v>
      </c>
      <c r="X96" s="24">
        <v>0.69351507641470467</v>
      </c>
      <c r="Y96" s="24">
        <v>0.6790582403965304</v>
      </c>
      <c r="Z96" s="24">
        <v>0.15695993391160679</v>
      </c>
      <c r="AA96" s="24">
        <v>0.16398182569186287</v>
      </c>
      <c r="AB96" s="24">
        <v>2.4028982787700079</v>
      </c>
      <c r="AC96" s="24">
        <v>0.76737832220727709</v>
      </c>
      <c r="AD96" s="6" t="s">
        <v>36</v>
      </c>
      <c r="AE96" s="6" t="s">
        <v>41</v>
      </c>
      <c r="AF96" t="s">
        <v>483</v>
      </c>
      <c r="AG96" t="s">
        <v>484</v>
      </c>
      <c r="AH96" t="s">
        <v>34</v>
      </c>
    </row>
    <row r="97" spans="1:34" x14ac:dyDescent="0.25">
      <c r="A97" s="1" t="s">
        <v>197</v>
      </c>
      <c r="B97" s="1" t="str">
        <f>SUBSTITUTE(ListingTable[[#This Row],[Program]],".zip","_case.pptx")</f>
        <v>FSC18087_980136022_20181005_12_case.pptx</v>
      </c>
      <c r="C97" s="83" t="s">
        <v>816</v>
      </c>
      <c r="D97" s="78"/>
      <c r="E97" s="78"/>
      <c r="F97" s="2" t="s">
        <v>40</v>
      </c>
      <c r="G97" s="3">
        <v>43378</v>
      </c>
      <c r="H97" s="4">
        <v>43384</v>
      </c>
      <c r="I97" s="30" t="s">
        <v>198</v>
      </c>
      <c r="J97" s="4" t="s">
        <v>199</v>
      </c>
      <c r="K97" s="5" t="s">
        <v>77</v>
      </c>
      <c r="L97" s="5" t="s">
        <v>169</v>
      </c>
      <c r="M97" s="5">
        <v>2</v>
      </c>
      <c r="N97" s="5">
        <v>13</v>
      </c>
      <c r="O97" s="5">
        <v>275</v>
      </c>
      <c r="P97" s="5">
        <v>313</v>
      </c>
      <c r="Q97" s="5">
        <v>3252739</v>
      </c>
      <c r="R97" s="5">
        <v>86176</v>
      </c>
      <c r="S97" s="27">
        <v>11828.141818181819</v>
      </c>
      <c r="T97" s="27">
        <v>313.36727272727273</v>
      </c>
      <c r="U97" s="7">
        <v>2.6493364515259295E-2</v>
      </c>
      <c r="V97" s="7">
        <v>0.12820244328097732</v>
      </c>
      <c r="W97" s="8">
        <v>0.10636173881477448</v>
      </c>
      <c r="X97" s="24">
        <v>0.79181413921408472</v>
      </c>
      <c r="Y97" s="24">
        <v>0.70641619021689805</v>
      </c>
      <c r="Z97" s="24">
        <v>7.9862056447953536E-2</v>
      </c>
      <c r="AA97" s="24">
        <v>0.21372175333514837</v>
      </c>
      <c r="AB97" s="24">
        <v>1.0882725598292196</v>
      </c>
      <c r="AC97" s="24">
        <v>7.9006582973059916E-2</v>
      </c>
      <c r="AD97" s="6" t="s">
        <v>36</v>
      </c>
      <c r="AE97" s="6" t="s">
        <v>37</v>
      </c>
      <c r="AF97" t="s">
        <v>200</v>
      </c>
      <c r="AG97" t="s">
        <v>201</v>
      </c>
      <c r="AH97" t="s">
        <v>48</v>
      </c>
    </row>
    <row r="98" spans="1:34" x14ac:dyDescent="0.25">
      <c r="A98" s="1" t="s">
        <v>133</v>
      </c>
      <c r="B98" s="1" t="str">
        <f>SUBSTITUTE(ListingTable[[#This Row],[Program]],".zip","_case.pptx")</f>
        <v>FSC18010_788103_20180420_12_case.pptx</v>
      </c>
      <c r="C98" s="83" t="s">
        <v>817</v>
      </c>
      <c r="D98" s="78"/>
      <c r="E98" s="78"/>
      <c r="F98" s="2" t="s">
        <v>40</v>
      </c>
      <c r="G98" s="3">
        <v>43210</v>
      </c>
      <c r="H98" s="4">
        <v>43216</v>
      </c>
      <c r="I98" s="30" t="s">
        <v>134</v>
      </c>
      <c r="J98" s="4" t="s">
        <v>135</v>
      </c>
      <c r="K98" s="5" t="s">
        <v>77</v>
      </c>
      <c r="L98" s="5" t="s">
        <v>136</v>
      </c>
      <c r="M98" s="5">
        <v>2</v>
      </c>
      <c r="N98" s="5">
        <v>21</v>
      </c>
      <c r="O98" s="5">
        <v>333</v>
      </c>
      <c r="P98" s="5">
        <v>256</v>
      </c>
      <c r="Q98" s="5">
        <v>3813443</v>
      </c>
      <c r="R98" s="5">
        <v>83195</v>
      </c>
      <c r="S98" s="27">
        <v>11451.78078078078</v>
      </c>
      <c r="T98" s="27">
        <v>249.83483483483482</v>
      </c>
      <c r="U98" s="7">
        <v>2.1816243221676579E-2</v>
      </c>
      <c r="V98" s="7">
        <v>6.5159254083746926E-2</v>
      </c>
      <c r="W98" s="8">
        <v>0.10630430763542244</v>
      </c>
      <c r="X98" s="24">
        <v>0.85468663338879647</v>
      </c>
      <c r="Y98" s="24">
        <v>0.73322240709927899</v>
      </c>
      <c r="Z98" s="24">
        <v>0.12996857090035127</v>
      </c>
      <c r="AA98" s="24">
        <v>0.13680902200036976</v>
      </c>
      <c r="AB98" s="24">
        <v>1.5103994255473838</v>
      </c>
      <c r="AC98" s="24">
        <v>4.0570852975960643E-2</v>
      </c>
      <c r="AD98" s="6" t="s">
        <v>36</v>
      </c>
      <c r="AE98" s="6" t="s">
        <v>37</v>
      </c>
      <c r="AF98" t="s">
        <v>137</v>
      </c>
      <c r="AG98" t="s">
        <v>138</v>
      </c>
      <c r="AH98" t="s">
        <v>48</v>
      </c>
    </row>
    <row r="99" spans="1:34" x14ac:dyDescent="0.25">
      <c r="A99" s="1" t="s">
        <v>231</v>
      </c>
      <c r="B99" s="1" t="str">
        <f>SUBSTITUTE(ListingTable[[#This Row],[Program]],".zip","_case.pptx")</f>
        <v>FSC18036_944440_20180608_12_case.pptx</v>
      </c>
      <c r="C99" s="83" t="s">
        <v>818</v>
      </c>
      <c r="D99" s="78"/>
      <c r="E99" s="78"/>
      <c r="F99" s="2" t="s">
        <v>40</v>
      </c>
      <c r="G99" s="3">
        <v>43259</v>
      </c>
      <c r="H99" s="4">
        <v>43265</v>
      </c>
      <c r="I99" s="30" t="s">
        <v>89</v>
      </c>
      <c r="J99" s="4" t="s">
        <v>90</v>
      </c>
      <c r="K99" s="5" t="s">
        <v>77</v>
      </c>
      <c r="L99" s="5" t="s">
        <v>78</v>
      </c>
      <c r="M99" s="5">
        <v>2</v>
      </c>
      <c r="N99" s="5">
        <v>10</v>
      </c>
      <c r="O99" s="5">
        <v>589</v>
      </c>
      <c r="P99" s="5">
        <v>0</v>
      </c>
      <c r="Q99" s="5">
        <v>7079248</v>
      </c>
      <c r="R99" s="5">
        <v>214478</v>
      </c>
      <c r="S99" s="27">
        <v>12019.096774193549</v>
      </c>
      <c r="T99" s="27">
        <v>364.13921901528016</v>
      </c>
      <c r="U99" s="7">
        <v>3.0296720781642344E-2</v>
      </c>
      <c r="V99" s="7">
        <v>4.3970726813282637E-2</v>
      </c>
      <c r="W99" s="8">
        <v>0.10630131144045207</v>
      </c>
      <c r="X99" s="24">
        <v>0.44535664783025908</v>
      </c>
      <c r="Y99" s="24">
        <v>0.57138287663930054</v>
      </c>
      <c r="Z99" s="24">
        <v>6.909052137754558E-2</v>
      </c>
      <c r="AA99" s="24">
        <v>0.35952660198315384</v>
      </c>
      <c r="AB99" s="24">
        <v>0.18280164332089419</v>
      </c>
      <c r="AC99" s="24"/>
      <c r="AD99" s="6" t="s">
        <v>36</v>
      </c>
      <c r="AE99" s="6" t="s">
        <v>37</v>
      </c>
      <c r="AF99" t="s">
        <v>210</v>
      </c>
      <c r="AG99" t="s">
        <v>211</v>
      </c>
      <c r="AH99" t="s">
        <v>48</v>
      </c>
    </row>
    <row r="100" spans="1:34" x14ac:dyDescent="0.25">
      <c r="A100" s="1" t="s">
        <v>286</v>
      </c>
      <c r="B100" s="1" t="str">
        <f>SUBSTITUTE(ListingTable[[#This Row],[Program]],".zip","_case.pptx")</f>
        <v>FSC18023_850799_20180406_12_case.pptx</v>
      </c>
      <c r="C100" s="83" t="s">
        <v>819</v>
      </c>
      <c r="D100" s="78"/>
      <c r="E100" s="78"/>
      <c r="F100" s="2" t="s">
        <v>40</v>
      </c>
      <c r="G100" s="3">
        <v>43196</v>
      </c>
      <c r="H100" s="4">
        <v>43202</v>
      </c>
      <c r="I100" s="30" t="s">
        <v>183</v>
      </c>
      <c r="J100" s="4" t="s">
        <v>184</v>
      </c>
      <c r="K100" s="5" t="s">
        <v>277</v>
      </c>
      <c r="L100" s="5" t="s">
        <v>185</v>
      </c>
      <c r="M100" s="5">
        <v>78</v>
      </c>
      <c r="N100" s="5">
        <v>70</v>
      </c>
      <c r="O100" s="5">
        <v>52</v>
      </c>
      <c r="P100" s="5">
        <v>537</v>
      </c>
      <c r="Q100" s="5">
        <v>649555</v>
      </c>
      <c r="R100" s="5">
        <v>26395</v>
      </c>
      <c r="S100" s="27">
        <v>12491.442307692309</v>
      </c>
      <c r="T100" s="27">
        <v>507.59615384615387</v>
      </c>
      <c r="U100" s="7">
        <v>4.0635512004372223E-2</v>
      </c>
      <c r="V100" s="7">
        <v>5.016722408026756E-2</v>
      </c>
      <c r="W100" s="8">
        <v>0.1053030303030303</v>
      </c>
      <c r="X100" s="24">
        <v>0.54621212121212126</v>
      </c>
      <c r="Y100" s="24">
        <v>0.62954545454545452</v>
      </c>
      <c r="Z100" s="24">
        <v>0.10681818181818181</v>
      </c>
      <c r="AA100" s="24">
        <v>0.26363636363636361</v>
      </c>
      <c r="AB100" s="24">
        <v>0.59775970778471577</v>
      </c>
      <c r="AC100" s="24">
        <v>0.11630089144686113</v>
      </c>
      <c r="AD100" s="6" t="s">
        <v>36</v>
      </c>
      <c r="AE100" s="6" t="s">
        <v>282</v>
      </c>
      <c r="AF100" t="s">
        <v>283</v>
      </c>
      <c r="AG100" t="s">
        <v>287</v>
      </c>
      <c r="AH100" t="s">
        <v>42</v>
      </c>
    </row>
    <row r="101" spans="1:34" x14ac:dyDescent="0.25">
      <c r="A101" s="1" t="s">
        <v>139</v>
      </c>
      <c r="B101" s="1" t="str">
        <f>SUBSTITUTE(ListingTable[[#This Row],[Program]],".zip","_case.pptx")</f>
        <v>FSC18125_92801_20190125_12_case.pptx</v>
      </c>
      <c r="C101" s="83" t="s">
        <v>820</v>
      </c>
      <c r="D101" s="78"/>
      <c r="E101" s="78"/>
      <c r="F101" s="2" t="s">
        <v>40</v>
      </c>
      <c r="G101" s="3">
        <v>43490</v>
      </c>
      <c r="H101" s="4">
        <v>43496</v>
      </c>
      <c r="I101" s="30" t="s">
        <v>95</v>
      </c>
      <c r="J101" s="4" t="s">
        <v>96</v>
      </c>
      <c r="K101" s="5" t="s">
        <v>69</v>
      </c>
      <c r="L101" s="5" t="s">
        <v>70</v>
      </c>
      <c r="M101" s="5">
        <v>78</v>
      </c>
      <c r="N101" s="5">
        <v>1</v>
      </c>
      <c r="O101" s="5">
        <v>205</v>
      </c>
      <c r="P101" s="5">
        <v>341</v>
      </c>
      <c r="Q101" s="5">
        <v>2227932</v>
      </c>
      <c r="R101" s="5">
        <v>350490</v>
      </c>
      <c r="S101" s="27">
        <v>10867.960975609756</v>
      </c>
      <c r="T101" s="27">
        <v>1709.7073170731708</v>
      </c>
      <c r="U101" s="7">
        <v>0.15731629152056706</v>
      </c>
      <c r="V101" s="7">
        <v>1.4541057783318328E-2</v>
      </c>
      <c r="W101" s="8">
        <v>0.10398888668386584</v>
      </c>
      <c r="X101" s="24">
        <v>0.56042865647946016</v>
      </c>
      <c r="Y101" s="24">
        <v>0.68902560031752336</v>
      </c>
      <c r="Z101" s="24">
        <v>0.14229013693193093</v>
      </c>
      <c r="AA101" s="24">
        <v>0.16868426275054574</v>
      </c>
      <c r="AB101" s="24">
        <v>0.69227049558246889</v>
      </c>
      <c r="AC101" s="24">
        <v>0.112065391504406</v>
      </c>
      <c r="AD101" s="6" t="s">
        <v>57</v>
      </c>
      <c r="AE101" s="6" t="s">
        <v>41</v>
      </c>
      <c r="AF101" t="s">
        <v>140</v>
      </c>
      <c r="AG101" t="s">
        <v>141</v>
      </c>
      <c r="AH101" t="s">
        <v>42</v>
      </c>
    </row>
    <row r="102" spans="1:34" x14ac:dyDescent="0.25">
      <c r="A102" s="1" t="s">
        <v>281</v>
      </c>
      <c r="B102" s="1" t="str">
        <f>SUBSTITUTE(ListingTable[[#This Row],[Program]],".zip","_case.pptx")</f>
        <v>FSC18023_850799_20180420_12_case.pptx</v>
      </c>
      <c r="C102" s="83" t="s">
        <v>821</v>
      </c>
      <c r="D102" s="78"/>
      <c r="E102" s="78"/>
      <c r="F102" s="2" t="s">
        <v>40</v>
      </c>
      <c r="G102" s="3">
        <v>43210</v>
      </c>
      <c r="H102" s="4">
        <v>43216</v>
      </c>
      <c r="I102" s="30" t="s">
        <v>183</v>
      </c>
      <c r="J102" s="4" t="s">
        <v>184</v>
      </c>
      <c r="K102" s="5" t="s">
        <v>277</v>
      </c>
      <c r="L102" s="5" t="s">
        <v>185</v>
      </c>
      <c r="M102" s="5">
        <v>78</v>
      </c>
      <c r="N102" s="5">
        <v>70</v>
      </c>
      <c r="O102" s="5">
        <v>256</v>
      </c>
      <c r="P102" s="5">
        <v>333</v>
      </c>
      <c r="Q102" s="5">
        <v>3113729</v>
      </c>
      <c r="R102" s="5">
        <v>123541</v>
      </c>
      <c r="S102" s="27">
        <v>12163.00390625</v>
      </c>
      <c r="T102" s="27">
        <v>482.58203125</v>
      </c>
      <c r="U102" s="7">
        <v>3.9676221019876813E-2</v>
      </c>
      <c r="V102" s="7">
        <v>3.95257559382085E-2</v>
      </c>
      <c r="W102" s="8">
        <v>0.10382401315789473</v>
      </c>
      <c r="X102" s="24">
        <v>0.51212993421052633</v>
      </c>
      <c r="Y102" s="24">
        <v>0.59087171052631582</v>
      </c>
      <c r="Z102" s="24">
        <v>0.11903782894736842</v>
      </c>
      <c r="AA102" s="24">
        <v>0.29009046052631576</v>
      </c>
      <c r="AB102" s="24">
        <v>0.37503737656177361</v>
      </c>
      <c r="AC102" s="24">
        <v>-5.1069982949684817E-2</v>
      </c>
      <c r="AD102" s="6" t="s">
        <v>36</v>
      </c>
      <c r="AE102" s="6" t="s">
        <v>282</v>
      </c>
      <c r="AF102" t="s">
        <v>283</v>
      </c>
      <c r="AG102" t="s">
        <v>284</v>
      </c>
      <c r="AH102" t="s">
        <v>42</v>
      </c>
    </row>
    <row r="103" spans="1:34" x14ac:dyDescent="0.25">
      <c r="A103" s="1" t="s">
        <v>425</v>
      </c>
      <c r="B103" s="1" t="str">
        <f>SUBSTITUTE(ListingTable[[#This Row],[Program]],".zip","_case.pptx")</f>
        <v>FSC18114_980058839_20190111_12_case.pptx</v>
      </c>
      <c r="C103" s="83" t="s">
        <v>822</v>
      </c>
      <c r="D103" s="78"/>
      <c r="E103" s="78"/>
      <c r="F103" s="2" t="s">
        <v>40</v>
      </c>
      <c r="G103" s="3">
        <v>43476</v>
      </c>
      <c r="H103" s="4">
        <v>43482</v>
      </c>
      <c r="I103" s="30" t="s">
        <v>99</v>
      </c>
      <c r="J103" s="4" t="s">
        <v>100</v>
      </c>
      <c r="K103" s="5" t="s">
        <v>34</v>
      </c>
      <c r="L103" s="5" t="s">
        <v>101</v>
      </c>
      <c r="M103" s="5">
        <v>54</v>
      </c>
      <c r="N103" s="5">
        <v>10</v>
      </c>
      <c r="O103" s="5">
        <v>31</v>
      </c>
      <c r="P103" s="5">
        <v>414</v>
      </c>
      <c r="Q103" s="5">
        <v>391666</v>
      </c>
      <c r="R103" s="5">
        <v>26919</v>
      </c>
      <c r="S103" s="27">
        <v>12634.387096774193</v>
      </c>
      <c r="T103" s="27">
        <v>868.35483870967744</v>
      </c>
      <c r="U103" s="7">
        <v>6.8729478688474357E-2</v>
      </c>
      <c r="V103" s="7">
        <v>1.0656388164607187E-2</v>
      </c>
      <c r="W103" s="8">
        <v>0.10283687943262411</v>
      </c>
      <c r="X103" s="24">
        <v>0.58865248226950351</v>
      </c>
      <c r="Y103" s="24">
        <v>0.63120567375886527</v>
      </c>
      <c r="Z103" s="24">
        <v>0.13120567375886524</v>
      </c>
      <c r="AA103" s="24">
        <v>0.23758865248226951</v>
      </c>
      <c r="AB103" s="24">
        <v>0.7059590516047296</v>
      </c>
      <c r="AC103" s="24">
        <v>0.18274662536219091</v>
      </c>
      <c r="AD103" s="6" t="s">
        <v>36</v>
      </c>
      <c r="AE103" s="6" t="s">
        <v>41</v>
      </c>
      <c r="AF103" t="s">
        <v>423</v>
      </c>
      <c r="AG103" t="s">
        <v>424</v>
      </c>
      <c r="AH103" t="s">
        <v>34</v>
      </c>
    </row>
    <row r="104" spans="1:34" x14ac:dyDescent="0.25">
      <c r="A104" s="1" t="s">
        <v>274</v>
      </c>
      <c r="B104" s="1" t="str">
        <f>SUBSTITUTE(ListingTable[[#This Row],[Program]],".zip","_case.pptx")</f>
        <v>FSC18025_980002024_20180427_12_case.pptx</v>
      </c>
      <c r="C104" s="83" t="s">
        <v>823</v>
      </c>
      <c r="D104" s="78" t="s">
        <v>706</v>
      </c>
      <c r="E104" s="78" t="s">
        <v>707</v>
      </c>
      <c r="F104" s="2" t="s">
        <v>40</v>
      </c>
      <c r="G104" s="3">
        <v>43217</v>
      </c>
      <c r="H104" s="4">
        <v>43223</v>
      </c>
      <c r="I104" s="30" t="s">
        <v>275</v>
      </c>
      <c r="J104" s="4" t="s">
        <v>276</v>
      </c>
      <c r="K104" s="5" t="s">
        <v>277</v>
      </c>
      <c r="L104" s="5" t="s">
        <v>278</v>
      </c>
      <c r="M104" s="5">
        <v>78</v>
      </c>
      <c r="N104" s="5">
        <v>80</v>
      </c>
      <c r="O104" s="5">
        <v>575</v>
      </c>
      <c r="P104" s="5">
        <v>2</v>
      </c>
      <c r="Q104" s="5">
        <v>6829578</v>
      </c>
      <c r="R104" s="5">
        <v>886182</v>
      </c>
      <c r="S104" s="27">
        <v>11877.526956521739</v>
      </c>
      <c r="T104" s="27">
        <v>1541.1860869565216</v>
      </c>
      <c r="U104" s="7">
        <v>0.12975647982935404</v>
      </c>
      <c r="V104" s="7">
        <v>1.2204950537047631E-2</v>
      </c>
      <c r="W104" s="8">
        <v>0.10229194063498027</v>
      </c>
      <c r="X104" s="24">
        <v>0.54386624084163071</v>
      </c>
      <c r="Y104" s="24">
        <v>0.66297200826601543</v>
      </c>
      <c r="Z104" s="24">
        <v>0.14615818147661094</v>
      </c>
      <c r="AA104" s="24">
        <v>0.19086981025737365</v>
      </c>
      <c r="AB104" s="24">
        <v>0.47657648033830002</v>
      </c>
      <c r="AC104" s="24">
        <v>0.89090909090909076</v>
      </c>
      <c r="AD104" s="6" t="s">
        <v>57</v>
      </c>
      <c r="AE104" s="6" t="s">
        <v>71</v>
      </c>
      <c r="AF104" t="s">
        <v>279</v>
      </c>
      <c r="AG104" t="s">
        <v>280</v>
      </c>
      <c r="AH104" t="s">
        <v>42</v>
      </c>
    </row>
    <row r="105" spans="1:34" x14ac:dyDescent="0.25">
      <c r="A105" s="1" t="s">
        <v>150</v>
      </c>
      <c r="B105" s="1" t="str">
        <f>SUBSTITUTE(ListingTable[[#This Row],[Program]],".zip","_case.pptx")</f>
        <v>FSC18026_980010669_20180427_12_case.pptx</v>
      </c>
      <c r="C105" s="83" t="s">
        <v>824</v>
      </c>
      <c r="D105" s="78"/>
      <c r="E105" s="78"/>
      <c r="F105" s="2" t="s">
        <v>40</v>
      </c>
      <c r="G105" s="3">
        <v>43217</v>
      </c>
      <c r="H105" s="4">
        <v>43223</v>
      </c>
      <c r="I105" s="30" t="s">
        <v>151</v>
      </c>
      <c r="J105" s="4" t="s">
        <v>152</v>
      </c>
      <c r="K105" s="5" t="s">
        <v>55</v>
      </c>
      <c r="L105" s="5" t="s">
        <v>153</v>
      </c>
      <c r="M105" s="5">
        <v>41</v>
      </c>
      <c r="N105" s="5">
        <v>77</v>
      </c>
      <c r="O105" s="5">
        <v>14</v>
      </c>
      <c r="P105" s="5">
        <v>573</v>
      </c>
      <c r="Q105" s="5">
        <v>147284</v>
      </c>
      <c r="R105" s="5">
        <v>3484</v>
      </c>
      <c r="S105" s="27">
        <v>10520.285714285714</v>
      </c>
      <c r="T105" s="27">
        <v>248.85714285714286</v>
      </c>
      <c r="U105" s="7">
        <v>2.365497949539665E-2</v>
      </c>
      <c r="V105" s="7">
        <v>1.407641482332663E-2</v>
      </c>
      <c r="W105" s="8">
        <v>0.10204081632653061</v>
      </c>
      <c r="X105" s="24">
        <v>0.2857142857142857</v>
      </c>
      <c r="Y105" s="24">
        <v>0.24489795918367346</v>
      </c>
      <c r="Z105" s="24">
        <v>0.2857142857142857</v>
      </c>
      <c r="AA105" s="24">
        <v>0.46938775510204084</v>
      </c>
      <c r="AB105" s="24">
        <v>-3.6777731959226956E-2</v>
      </c>
      <c r="AC105" s="24">
        <v>-2.1994737072808027E-2</v>
      </c>
      <c r="AD105" s="6" t="s">
        <v>36</v>
      </c>
      <c r="AE105" s="6" t="s">
        <v>37</v>
      </c>
      <c r="AF105" t="s">
        <v>148</v>
      </c>
      <c r="AG105" t="s">
        <v>149</v>
      </c>
      <c r="AH105" t="s">
        <v>42</v>
      </c>
    </row>
    <row r="106" spans="1:34" x14ac:dyDescent="0.25">
      <c r="A106" s="1" t="s">
        <v>60</v>
      </c>
      <c r="B106" s="1" t="str">
        <f>SUBSTITUTE(ListingTable[[#This Row],[Program]],".zip","_case.pptx")</f>
        <v>FSC18113_281210_20181123_12_case.pptx</v>
      </c>
      <c r="C106" s="83" t="s">
        <v>825</v>
      </c>
      <c r="D106" s="78"/>
      <c r="E106" s="78"/>
      <c r="F106" s="2" t="s">
        <v>40</v>
      </c>
      <c r="G106" s="3">
        <v>43427</v>
      </c>
      <c r="H106" s="4">
        <v>43433</v>
      </c>
      <c r="I106" s="30" t="s">
        <v>32</v>
      </c>
      <c r="J106" s="4" t="s">
        <v>33</v>
      </c>
      <c r="K106" s="5" t="s">
        <v>34</v>
      </c>
      <c r="L106" s="5" t="s">
        <v>35</v>
      </c>
      <c r="M106" s="5">
        <v>54</v>
      </c>
      <c r="N106" s="5">
        <v>15</v>
      </c>
      <c r="O106" s="5">
        <v>151</v>
      </c>
      <c r="P106" s="5">
        <v>398</v>
      </c>
      <c r="Q106" s="5">
        <v>1672974</v>
      </c>
      <c r="R106" s="5">
        <v>25181</v>
      </c>
      <c r="S106" s="27">
        <v>11079.298013245034</v>
      </c>
      <c r="T106" s="27">
        <v>166.76158940397352</v>
      </c>
      <c r="U106" s="7">
        <v>1.5051638578961777E-2</v>
      </c>
      <c r="V106" s="7">
        <v>4.9000875726454902E-2</v>
      </c>
      <c r="W106" s="8">
        <v>0.10154346060113728</v>
      </c>
      <c r="X106" s="24">
        <v>0.86271324126726234</v>
      </c>
      <c r="Y106" s="24">
        <v>0.69861900893582451</v>
      </c>
      <c r="Z106" s="24">
        <v>0.11047928513403736</v>
      </c>
      <c r="AA106" s="24">
        <v>0.19090170593013811</v>
      </c>
      <c r="AB106" s="24">
        <v>1.3230547352096866</v>
      </c>
      <c r="AC106" s="24">
        <v>-3.8544575544537635E-2</v>
      </c>
      <c r="AD106" s="6" t="s">
        <v>36</v>
      </c>
      <c r="AE106" s="6" t="s">
        <v>37</v>
      </c>
      <c r="AF106" t="s">
        <v>38</v>
      </c>
      <c r="AG106" t="s">
        <v>61</v>
      </c>
      <c r="AH106" t="s">
        <v>34</v>
      </c>
    </row>
    <row r="107" spans="1:34" x14ac:dyDescent="0.25">
      <c r="A107" s="1" t="s">
        <v>52</v>
      </c>
      <c r="B107" s="1" t="str">
        <f>SUBSTITUTE(ListingTable[[#This Row],[Program]],".zip","_case.pptx")</f>
        <v>FSC18043_567934_20180601_12_case.pptx</v>
      </c>
      <c r="C107" s="83" t="s">
        <v>826</v>
      </c>
      <c r="D107" s="78"/>
      <c r="E107" s="78"/>
      <c r="F107" s="2" t="s">
        <v>40</v>
      </c>
      <c r="G107" s="3">
        <v>43252</v>
      </c>
      <c r="H107" s="4">
        <v>43258</v>
      </c>
      <c r="I107" s="30" t="s">
        <v>44</v>
      </c>
      <c r="J107" s="4" t="s">
        <v>45</v>
      </c>
      <c r="K107" s="5" t="s">
        <v>46</v>
      </c>
      <c r="L107" s="5" t="s">
        <v>47</v>
      </c>
      <c r="M107" s="5">
        <v>94</v>
      </c>
      <c r="N107" s="5">
        <v>25</v>
      </c>
      <c r="O107" s="5">
        <v>149</v>
      </c>
      <c r="P107" s="5">
        <v>440</v>
      </c>
      <c r="Q107" s="5">
        <v>1677623</v>
      </c>
      <c r="R107" s="5">
        <v>24934</v>
      </c>
      <c r="S107" s="27">
        <v>11259.214765100671</v>
      </c>
      <c r="T107" s="27">
        <v>167.34228187919464</v>
      </c>
      <c r="U107" s="7">
        <v>1.4862695611588539E-2</v>
      </c>
      <c r="V107" s="7">
        <v>1.7560779586096042E-2</v>
      </c>
      <c r="W107" s="8">
        <v>0.10068649885583524</v>
      </c>
      <c r="X107" s="24">
        <v>0.26315789473684209</v>
      </c>
      <c r="Y107" s="24">
        <v>0.39816933638443935</v>
      </c>
      <c r="Z107" s="24">
        <v>0.20366132723112129</v>
      </c>
      <c r="AA107" s="24">
        <v>0.39816933638443935</v>
      </c>
      <c r="AB107" s="24">
        <v>0.13684759005420863</v>
      </c>
      <c r="AC107" s="24">
        <v>6.8385798068353043E-2</v>
      </c>
      <c r="AD107" s="6" t="s">
        <v>36</v>
      </c>
      <c r="AE107" s="6" t="s">
        <v>37</v>
      </c>
      <c r="AF107" t="s">
        <v>50</v>
      </c>
      <c r="AG107" t="s">
        <v>51</v>
      </c>
      <c r="AH107" t="s">
        <v>48</v>
      </c>
    </row>
    <row r="108" spans="1:34" x14ac:dyDescent="0.25">
      <c r="A108" s="1" t="s">
        <v>422</v>
      </c>
      <c r="B108" s="1" t="str">
        <f>SUBSTITUTE(ListingTable[[#This Row],[Program]],".zip","_case.pptx")</f>
        <v>FSC18114_567934_20190111_12_case.pptx</v>
      </c>
      <c r="C108" s="83" t="s">
        <v>827</v>
      </c>
      <c r="D108" s="78"/>
      <c r="E108" s="78"/>
      <c r="F108" s="2" t="s">
        <v>40</v>
      </c>
      <c r="G108" s="3">
        <v>43476</v>
      </c>
      <c r="H108" s="4">
        <v>43482</v>
      </c>
      <c r="I108" s="30" t="s">
        <v>44</v>
      </c>
      <c r="J108" s="4" t="s">
        <v>45</v>
      </c>
      <c r="K108" s="5" t="s">
        <v>46</v>
      </c>
      <c r="L108" s="5" t="s">
        <v>47</v>
      </c>
      <c r="M108" s="5">
        <v>94</v>
      </c>
      <c r="N108" s="5">
        <v>25</v>
      </c>
      <c r="O108" s="5">
        <v>31</v>
      </c>
      <c r="P108" s="5">
        <v>558</v>
      </c>
      <c r="Q108" s="5">
        <v>391666</v>
      </c>
      <c r="R108" s="5">
        <v>26919</v>
      </c>
      <c r="S108" s="27">
        <v>12634.387096774193</v>
      </c>
      <c r="T108" s="27">
        <v>868.35483870967744</v>
      </c>
      <c r="U108" s="7">
        <v>6.8729478688474357E-2</v>
      </c>
      <c r="V108" s="7">
        <v>1.488871254203983E-2</v>
      </c>
      <c r="W108" s="8">
        <v>9.8984771573604066E-2</v>
      </c>
      <c r="X108" s="24">
        <v>0.18274111675126903</v>
      </c>
      <c r="Y108" s="24">
        <v>0.57868020304568524</v>
      </c>
      <c r="Z108" s="24">
        <v>0.13705583756345177</v>
      </c>
      <c r="AA108" s="24">
        <v>0.28426395939086296</v>
      </c>
      <c r="AB108" s="24">
        <v>-0.11469933518786379</v>
      </c>
      <c r="AC108" s="24">
        <v>-5.8716554905952754E-2</v>
      </c>
      <c r="AD108" s="6" t="s">
        <v>36</v>
      </c>
      <c r="AE108" s="6" t="s">
        <v>41</v>
      </c>
      <c r="AF108" t="s">
        <v>423</v>
      </c>
      <c r="AG108" t="s">
        <v>424</v>
      </c>
      <c r="AH108" t="s">
        <v>48</v>
      </c>
    </row>
    <row r="109" spans="1:34" x14ac:dyDescent="0.25">
      <c r="A109" s="1" t="s">
        <v>526</v>
      </c>
      <c r="B109" s="1" t="str">
        <f>SUBSTITUTE(ListingTable[[#This Row],[Program]],".zip","_case.pptx")</f>
        <v>FSC18094_605629_20181123_12_case.pptx</v>
      </c>
      <c r="C109" s="83" t="s">
        <v>828</v>
      </c>
      <c r="D109" s="78"/>
      <c r="E109" s="78"/>
      <c r="F109" s="2" t="s">
        <v>40</v>
      </c>
      <c r="G109" s="3">
        <v>43427</v>
      </c>
      <c r="H109" s="4">
        <v>43433</v>
      </c>
      <c r="I109" s="30" t="s">
        <v>527</v>
      </c>
      <c r="J109" s="4" t="s">
        <v>528</v>
      </c>
      <c r="K109" s="5" t="s">
        <v>34</v>
      </c>
      <c r="L109" s="5" t="s">
        <v>529</v>
      </c>
      <c r="M109" s="5">
        <v>54</v>
      </c>
      <c r="N109" s="5">
        <v>6</v>
      </c>
      <c r="O109" s="5">
        <v>106</v>
      </c>
      <c r="P109" s="5">
        <v>466</v>
      </c>
      <c r="Q109" s="5">
        <v>1351036</v>
      </c>
      <c r="R109" s="5">
        <v>109577</v>
      </c>
      <c r="S109" s="27">
        <v>12745.622641509433</v>
      </c>
      <c r="T109" s="27">
        <v>1033.7452830188679</v>
      </c>
      <c r="U109" s="7">
        <v>8.1105906874428216E-2</v>
      </c>
      <c r="V109" s="7">
        <v>7.6985637973420087E-3</v>
      </c>
      <c r="W109" s="8">
        <v>9.8439375750300123E-2</v>
      </c>
      <c r="X109" s="24">
        <v>0.45258103241296521</v>
      </c>
      <c r="Y109" s="24">
        <v>0.72028811524609848</v>
      </c>
      <c r="Z109" s="24">
        <v>0.11044417767106843</v>
      </c>
      <c r="AA109" s="24">
        <v>0.16926770708283315</v>
      </c>
      <c r="AB109" s="24">
        <v>0.47314311669463954</v>
      </c>
      <c r="AC109" s="24">
        <v>-0.12123546470482274</v>
      </c>
      <c r="AD109" s="6" t="s">
        <v>36</v>
      </c>
      <c r="AE109" s="6" t="s">
        <v>41</v>
      </c>
      <c r="AF109" t="s">
        <v>530</v>
      </c>
      <c r="AG109" t="s">
        <v>531</v>
      </c>
      <c r="AH109" t="s">
        <v>34</v>
      </c>
    </row>
    <row r="110" spans="1:34" x14ac:dyDescent="0.25">
      <c r="A110" s="1" t="s">
        <v>604</v>
      </c>
      <c r="B110" s="29" t="str">
        <f>SUBSTITUTE(ListingTable[[#This Row],[Program]],".zip","_case.pptx")</f>
        <v>FSC18087_980136022_20190419_12_case.pptx</v>
      </c>
      <c r="C110" s="84" t="s">
        <v>829</v>
      </c>
      <c r="D110" s="78"/>
      <c r="E110" s="78"/>
      <c r="F110" s="2" t="s">
        <v>40</v>
      </c>
      <c r="G110" s="3">
        <v>43574</v>
      </c>
      <c r="H110" s="4">
        <v>43580</v>
      </c>
      <c r="I110" s="30">
        <v>980136022</v>
      </c>
      <c r="J110" s="4" t="s">
        <v>199</v>
      </c>
      <c r="K110" s="5" t="s">
        <v>77</v>
      </c>
      <c r="L110" s="5" t="s">
        <v>169</v>
      </c>
      <c r="M110" s="5">
        <v>2</v>
      </c>
      <c r="N110" s="5">
        <v>13</v>
      </c>
      <c r="O110" s="5">
        <v>200</v>
      </c>
      <c r="P110" s="5">
        <v>389</v>
      </c>
      <c r="Q110" s="5">
        <v>2222431</v>
      </c>
      <c r="R110" s="5">
        <v>57629</v>
      </c>
      <c r="S110" s="27">
        <v>11112.155000000001</v>
      </c>
      <c r="T110" s="27">
        <v>288.14499999999998</v>
      </c>
      <c r="U110" s="7">
        <v>2.5999999999999999E-2</v>
      </c>
      <c r="V110" s="7">
        <v>0.13100000000000001</v>
      </c>
      <c r="W110" s="8">
        <v>9.5000000000000001E-2</v>
      </c>
      <c r="X110" s="24">
        <v>0.83399999999999996</v>
      </c>
      <c r="Y110" s="24">
        <v>0.67</v>
      </c>
      <c r="Z110" s="24">
        <v>0.08</v>
      </c>
      <c r="AA110" s="24">
        <v>0.25</v>
      </c>
      <c r="AB110" s="24">
        <v>1.0900000000000001</v>
      </c>
      <c r="AC110" s="24">
        <v>-0.13</v>
      </c>
      <c r="AD110" s="6" t="s">
        <v>36</v>
      </c>
      <c r="AE110" s="6" t="s">
        <v>37</v>
      </c>
      <c r="AF110" t="s">
        <v>200</v>
      </c>
      <c r="AG110" t="str">
        <f>+_xlfn.CONCAT(ListingTable[[#This Row],[Program2]],ListingTable[[#This Row],[Start date]])</f>
        <v>FSC1808743574</v>
      </c>
      <c r="AH110" t="s">
        <v>48</v>
      </c>
    </row>
    <row r="111" spans="1:34" x14ac:dyDescent="0.25">
      <c r="A111" s="1" t="s">
        <v>614</v>
      </c>
      <c r="B111" s="29" t="str">
        <f>SUBSTITUTE(ListingTable[[#This Row],[Program]],".zip","_case.pptx")</f>
        <v>FSC19010_980186688_20190510_12_case.pptx</v>
      </c>
      <c r="C111" s="84" t="s">
        <v>830</v>
      </c>
      <c r="D111" s="78"/>
      <c r="E111" s="78"/>
      <c r="F111" s="2" t="s">
        <v>40</v>
      </c>
      <c r="G111" s="3">
        <v>43595</v>
      </c>
      <c r="H111" s="4">
        <v>43601</v>
      </c>
      <c r="I111" s="30">
        <v>980186688</v>
      </c>
      <c r="J111" s="4" t="s">
        <v>632</v>
      </c>
      <c r="K111" s="5" t="s">
        <v>93</v>
      </c>
      <c r="L111" s="5" t="s">
        <v>640</v>
      </c>
      <c r="M111" s="5">
        <v>13</v>
      </c>
      <c r="N111" s="5">
        <v>11</v>
      </c>
      <c r="O111" s="5">
        <v>105</v>
      </c>
      <c r="P111" s="5">
        <v>481</v>
      </c>
      <c r="Q111" s="5">
        <v>1299839</v>
      </c>
      <c r="R111" s="5">
        <v>135635</v>
      </c>
      <c r="S111" s="27">
        <v>12379.419047619047</v>
      </c>
      <c r="T111" s="27">
        <v>1291.7619047619048</v>
      </c>
      <c r="U111" s="7">
        <v>0.104</v>
      </c>
      <c r="V111" s="7">
        <v>3.2000000000000001E-2</v>
      </c>
      <c r="W111" s="8">
        <v>9.5000000000000001E-2</v>
      </c>
      <c r="X111" s="24">
        <v>0.30599999999999999</v>
      </c>
      <c r="Y111" s="24">
        <v>0.45</v>
      </c>
      <c r="Z111" s="24">
        <v>0.5</v>
      </c>
      <c r="AA111" s="24">
        <v>0.04</v>
      </c>
      <c r="AB111" s="24">
        <v>0.46</v>
      </c>
      <c r="AC111" s="24">
        <v>0.13</v>
      </c>
      <c r="AD111" s="6" t="s">
        <v>57</v>
      </c>
      <c r="AE111" s="6" t="s">
        <v>41</v>
      </c>
      <c r="AF111" t="s">
        <v>646</v>
      </c>
      <c r="AG111" t="str">
        <f>+_xlfn.CONCAT(ListingTable[[#This Row],[Program2]],ListingTable[[#This Row],[Start date]])</f>
        <v>FSC1901043595</v>
      </c>
      <c r="AH111" t="s">
        <v>48</v>
      </c>
    </row>
    <row r="112" spans="1:34" x14ac:dyDescent="0.25">
      <c r="A112" s="1" t="s">
        <v>393</v>
      </c>
      <c r="B112" s="1" t="str">
        <f>SUBSTITUTE(ListingTable[[#This Row],[Program]],".zip","_case.pptx")</f>
        <v>FSC18041_687988_20180615_12_case.pptx</v>
      </c>
      <c r="C112" s="83" t="s">
        <v>831</v>
      </c>
      <c r="D112" s="78"/>
      <c r="E112" s="78"/>
      <c r="F112" s="2" t="s">
        <v>40</v>
      </c>
      <c r="G112" s="3">
        <v>43266</v>
      </c>
      <c r="H112" s="4">
        <v>43272</v>
      </c>
      <c r="I112" s="30" t="s">
        <v>394</v>
      </c>
      <c r="J112" s="4" t="s">
        <v>395</v>
      </c>
      <c r="K112" s="5" t="s">
        <v>34</v>
      </c>
      <c r="L112" s="5" t="s">
        <v>189</v>
      </c>
      <c r="M112" s="5">
        <v>54</v>
      </c>
      <c r="N112" s="5">
        <v>1</v>
      </c>
      <c r="O112" s="5">
        <v>167</v>
      </c>
      <c r="P112" s="5">
        <v>422</v>
      </c>
      <c r="Q112" s="5">
        <v>1847296</v>
      </c>
      <c r="R112" s="5">
        <v>115490</v>
      </c>
      <c r="S112" s="27">
        <v>11061.652694610779</v>
      </c>
      <c r="T112" s="27">
        <v>691.55688622754496</v>
      </c>
      <c r="U112" s="7">
        <v>6.2518405279933478E-2</v>
      </c>
      <c r="V112" s="7">
        <v>9.048662867163524E-3</v>
      </c>
      <c r="W112" s="8">
        <v>9.3992248062015504E-2</v>
      </c>
      <c r="X112" s="24">
        <v>0.41860465116279072</v>
      </c>
      <c r="Y112" s="24">
        <v>0.41666666666666669</v>
      </c>
      <c r="Z112" s="24">
        <v>0.20639534883720931</v>
      </c>
      <c r="AA112" s="24">
        <v>0.37693798449612403</v>
      </c>
      <c r="AB112" s="24">
        <v>-2.0715795364691893E-2</v>
      </c>
      <c r="AC112" s="24">
        <v>-0.24914087776961005</v>
      </c>
      <c r="AD112" s="6" t="s">
        <v>36</v>
      </c>
      <c r="AE112" s="6" t="s">
        <v>372</v>
      </c>
      <c r="AF112" t="s">
        <v>373</v>
      </c>
      <c r="AG112" t="s">
        <v>374</v>
      </c>
      <c r="AH112" t="s">
        <v>34</v>
      </c>
    </row>
    <row r="113" spans="1:34" x14ac:dyDescent="0.25">
      <c r="A113" s="1" t="s">
        <v>336</v>
      </c>
      <c r="B113" s="1" t="str">
        <f>SUBSTITUTE(ListingTable[[#This Row],[Program]],".zip","_case.pptx")</f>
        <v>FSC18099_683073_20181123_12_case.pptx</v>
      </c>
      <c r="C113" s="83" t="s">
        <v>832</v>
      </c>
      <c r="D113" s="78"/>
      <c r="E113" s="78"/>
      <c r="F113" s="2" t="s">
        <v>40</v>
      </c>
      <c r="G113" s="3">
        <v>43427</v>
      </c>
      <c r="H113" s="4">
        <v>43433</v>
      </c>
      <c r="I113" s="30" t="s">
        <v>337</v>
      </c>
      <c r="J113" s="4" t="s">
        <v>338</v>
      </c>
      <c r="K113" s="5" t="s">
        <v>77</v>
      </c>
      <c r="L113" s="5" t="s">
        <v>136</v>
      </c>
      <c r="M113" s="5">
        <v>2</v>
      </c>
      <c r="N113" s="5">
        <v>21</v>
      </c>
      <c r="O113" s="5">
        <v>100</v>
      </c>
      <c r="P113" s="5">
        <v>486</v>
      </c>
      <c r="Q113" s="5">
        <v>943395</v>
      </c>
      <c r="R113" s="5">
        <v>115206</v>
      </c>
      <c r="S113" s="27">
        <v>9433.9500000000007</v>
      </c>
      <c r="T113" s="27">
        <v>1152.06</v>
      </c>
      <c r="U113" s="7">
        <v>0.12211851875407438</v>
      </c>
      <c r="V113" s="7">
        <v>1.1579373745200945E-2</v>
      </c>
      <c r="W113" s="8">
        <v>9.3536121673003805E-2</v>
      </c>
      <c r="X113" s="24">
        <v>0.47224334600760454</v>
      </c>
      <c r="Y113" s="24">
        <v>0.6897338403041825</v>
      </c>
      <c r="Z113" s="24">
        <v>0.1338403041825095</v>
      </c>
      <c r="AA113" s="24">
        <v>0.17642585551330797</v>
      </c>
      <c r="AB113" s="24">
        <v>0.77452779946097317</v>
      </c>
      <c r="AC113" s="24">
        <v>-3.6911427090766558E-2</v>
      </c>
      <c r="AD113" s="6" t="s">
        <v>36</v>
      </c>
      <c r="AE113" s="6" t="s">
        <v>41</v>
      </c>
      <c r="AF113" t="s">
        <v>325</v>
      </c>
      <c r="AG113" t="s">
        <v>326</v>
      </c>
      <c r="AH113" t="s">
        <v>48</v>
      </c>
    </row>
    <row r="114" spans="1:34" x14ac:dyDescent="0.25">
      <c r="A114" s="1" t="s">
        <v>431</v>
      </c>
      <c r="B114" s="1" t="str">
        <f>SUBSTITUTE(ListingTable[[#This Row],[Program]],".zip","_case.pptx")</f>
        <v>FSC18114_980116254_20190111_12_case.pptx</v>
      </c>
      <c r="C114" s="83" t="s">
        <v>833</v>
      </c>
      <c r="D114" s="78"/>
      <c r="E114" s="78"/>
      <c r="F114" s="2" t="s">
        <v>40</v>
      </c>
      <c r="G114" s="3">
        <v>43476</v>
      </c>
      <c r="H114" s="4">
        <v>43482</v>
      </c>
      <c r="I114" s="30" t="s">
        <v>432</v>
      </c>
      <c r="J114" s="4" t="s">
        <v>433</v>
      </c>
      <c r="K114" s="5" t="s">
        <v>34</v>
      </c>
      <c r="L114" s="5" t="s">
        <v>193</v>
      </c>
      <c r="M114" s="5">
        <v>54</v>
      </c>
      <c r="N114" s="5">
        <v>8</v>
      </c>
      <c r="O114" s="5">
        <v>31</v>
      </c>
      <c r="P114" s="5">
        <v>5</v>
      </c>
      <c r="Q114" s="5">
        <v>391666</v>
      </c>
      <c r="R114" s="5">
        <v>26919</v>
      </c>
      <c r="S114" s="27">
        <v>12634.387096774193</v>
      </c>
      <c r="T114" s="27">
        <v>868.35483870967744</v>
      </c>
      <c r="U114" s="7">
        <v>6.8729478688474357E-2</v>
      </c>
      <c r="V114" s="7">
        <v>1.1336583153837433E-2</v>
      </c>
      <c r="W114" s="8">
        <v>9.3333333333333338E-2</v>
      </c>
      <c r="X114" s="24">
        <v>0.66666666666666663</v>
      </c>
      <c r="Y114" s="24">
        <v>0.7466666666666667</v>
      </c>
      <c r="Z114" s="24">
        <v>0.17333333333333334</v>
      </c>
      <c r="AA114" s="24">
        <v>0.08</v>
      </c>
      <c r="AB114" s="24">
        <v>1.1714285714285713</v>
      </c>
      <c r="AC114" s="24">
        <v>0.24999999999999994</v>
      </c>
      <c r="AD114" s="6" t="s">
        <v>57</v>
      </c>
      <c r="AE114" s="6" t="s">
        <v>41</v>
      </c>
      <c r="AF114" t="s">
        <v>423</v>
      </c>
      <c r="AG114" t="s">
        <v>424</v>
      </c>
      <c r="AH114" t="s">
        <v>34</v>
      </c>
    </row>
    <row r="115" spans="1:34" x14ac:dyDescent="0.25">
      <c r="A115" s="1" t="s">
        <v>411</v>
      </c>
      <c r="B115" s="1" t="str">
        <f>SUBSTITUTE(ListingTable[[#This Row],[Program]],".zip","_case.pptx")</f>
        <v>FSC18120_226365_20190111_12_case.pptx</v>
      </c>
      <c r="C115" s="83" t="s">
        <v>834</v>
      </c>
      <c r="D115" s="81" t="s">
        <v>714</v>
      </c>
      <c r="E115" s="81" t="s">
        <v>715</v>
      </c>
      <c r="F115" s="2" t="s">
        <v>40</v>
      </c>
      <c r="G115" s="3">
        <v>43476</v>
      </c>
      <c r="H115" s="4">
        <v>43482</v>
      </c>
      <c r="I115" s="30" t="s">
        <v>412</v>
      </c>
      <c r="J115" s="4" t="s">
        <v>413</v>
      </c>
      <c r="K115" s="5" t="s">
        <v>34</v>
      </c>
      <c r="L115" s="5" t="s">
        <v>414</v>
      </c>
      <c r="M115" s="5">
        <v>54</v>
      </c>
      <c r="N115" s="5">
        <v>5</v>
      </c>
      <c r="O115" s="5">
        <v>75</v>
      </c>
      <c r="P115" s="5">
        <v>510</v>
      </c>
      <c r="Q115" s="5">
        <v>883551</v>
      </c>
      <c r="R115" s="5">
        <v>55646</v>
      </c>
      <c r="S115" s="27">
        <v>11780.68</v>
      </c>
      <c r="T115" s="27">
        <v>741.94666666666672</v>
      </c>
      <c r="U115" s="7">
        <v>6.297995248717958E-2</v>
      </c>
      <c r="V115" s="7">
        <v>2.4882227759690064E-2</v>
      </c>
      <c r="W115" s="8">
        <v>9.2105263157894732E-2</v>
      </c>
      <c r="X115" s="24">
        <v>0.50146198830409361</v>
      </c>
      <c r="Y115" s="24">
        <v>0.77412280701754388</v>
      </c>
      <c r="Z115" s="24">
        <v>9.9415204678362568E-2</v>
      </c>
      <c r="AA115" s="24">
        <v>0.12646198830409358</v>
      </c>
      <c r="AB115" s="24">
        <v>0.48672169723228642</v>
      </c>
      <c r="AC115" s="24">
        <v>-0.24464230755517552</v>
      </c>
      <c r="AD115" s="6" t="s">
        <v>57</v>
      </c>
      <c r="AE115" s="6" t="s">
        <v>41</v>
      </c>
      <c r="AF115" t="s">
        <v>415</v>
      </c>
      <c r="AG115" t="s">
        <v>416</v>
      </c>
      <c r="AH115" t="s">
        <v>34</v>
      </c>
    </row>
    <row r="116" spans="1:34" x14ac:dyDescent="0.25">
      <c r="A116" s="1" t="s">
        <v>606</v>
      </c>
      <c r="B116" s="29" t="str">
        <f>SUBSTITUTE(ListingTable[[#This Row],[Program]],".zip","_case.pptx")</f>
        <v>FSC18129_980125405_20190405_12_case.pptx</v>
      </c>
      <c r="C116" s="84" t="s">
        <v>835</v>
      </c>
      <c r="D116" s="78"/>
      <c r="E116" s="78"/>
      <c r="F116" s="2" t="s">
        <v>40</v>
      </c>
      <c r="G116" s="3">
        <v>43560</v>
      </c>
      <c r="H116" s="4">
        <v>43566</v>
      </c>
      <c r="I116" s="30">
        <v>980125405</v>
      </c>
      <c r="J116" s="4" t="s">
        <v>625</v>
      </c>
      <c r="K116" s="5" t="s">
        <v>77</v>
      </c>
      <c r="L116" s="5" t="s">
        <v>324</v>
      </c>
      <c r="M116" s="5">
        <v>2</v>
      </c>
      <c r="N116" s="5">
        <v>5</v>
      </c>
      <c r="O116" s="5">
        <v>97</v>
      </c>
      <c r="P116" s="5">
        <v>0</v>
      </c>
      <c r="Q116" s="5">
        <v>1225974</v>
      </c>
      <c r="R116" s="5">
        <v>133501</v>
      </c>
      <c r="S116" s="27">
        <v>12638.907216494845</v>
      </c>
      <c r="T116" s="27">
        <v>1376.2989690721649</v>
      </c>
      <c r="U116" s="7">
        <v>0.109</v>
      </c>
      <c r="V116" s="7">
        <v>1.7999999999999999E-2</v>
      </c>
      <c r="W116" s="8">
        <v>9.1999999999999998E-2</v>
      </c>
      <c r="X116" s="24">
        <v>0.41299999999999998</v>
      </c>
      <c r="Y116" s="24">
        <v>0.46</v>
      </c>
      <c r="Z116" s="24">
        <v>0.45</v>
      </c>
      <c r="AA116" s="24">
        <v>0.09</v>
      </c>
      <c r="AB116" s="24">
        <v>0.97</v>
      </c>
      <c r="AC116" s="24"/>
      <c r="AD116" s="6" t="s">
        <v>57</v>
      </c>
      <c r="AE116" s="6" t="s">
        <v>71</v>
      </c>
      <c r="AF116" t="s">
        <v>642</v>
      </c>
      <c r="AG116" t="str">
        <f>+_xlfn.CONCAT(ListingTable[[#This Row],[Program2]],ListingTable[[#This Row],[Start date]])</f>
        <v>FSC1812943560</v>
      </c>
      <c r="AH116" t="s">
        <v>48</v>
      </c>
    </row>
    <row r="117" spans="1:34" x14ac:dyDescent="0.25">
      <c r="A117" s="1" t="s">
        <v>622</v>
      </c>
      <c r="B117" s="29" t="str">
        <f>SUBSTITUTE(ListingTable[[#This Row],[Program]],".zip","_case.pptx")</f>
        <v>FSC19019_980172822_20190510_12_case.pptx</v>
      </c>
      <c r="C117" s="84" t="s">
        <v>836</v>
      </c>
      <c r="D117" s="78" t="s">
        <v>698</v>
      </c>
      <c r="E117" s="78" t="s">
        <v>700</v>
      </c>
      <c r="F117" s="2" t="s">
        <v>40</v>
      </c>
      <c r="G117" s="3">
        <v>43595</v>
      </c>
      <c r="H117" s="4">
        <v>43601</v>
      </c>
      <c r="I117" s="30">
        <v>980172822</v>
      </c>
      <c r="J117" s="4" t="s">
        <v>634</v>
      </c>
      <c r="K117" s="5" t="s">
        <v>77</v>
      </c>
      <c r="L117" s="5" t="s">
        <v>78</v>
      </c>
      <c r="M117" s="5">
        <v>2</v>
      </c>
      <c r="N117" s="5">
        <v>10</v>
      </c>
      <c r="O117" s="5">
        <v>384</v>
      </c>
      <c r="P117" s="5">
        <v>192</v>
      </c>
      <c r="Q117" s="5">
        <v>4798578</v>
      </c>
      <c r="R117" s="5">
        <v>207238</v>
      </c>
      <c r="S117" s="27">
        <v>12496.296875</v>
      </c>
      <c r="T117" s="27">
        <v>539.68229166666663</v>
      </c>
      <c r="U117" s="7">
        <v>4.2999999999999997E-2</v>
      </c>
      <c r="V117" s="7">
        <v>1.7999999999999999E-2</v>
      </c>
      <c r="W117" s="8">
        <v>8.8999999999999996E-2</v>
      </c>
      <c r="X117" s="24">
        <v>0.54900000000000004</v>
      </c>
      <c r="Y117" s="24">
        <v>0.79</v>
      </c>
      <c r="Z117" s="24">
        <v>0.17</v>
      </c>
      <c r="AA117" s="24">
        <v>0.04</v>
      </c>
      <c r="AB117" s="24">
        <v>2.9</v>
      </c>
      <c r="AC117" s="24">
        <v>-0.1</v>
      </c>
      <c r="AD117" s="6" t="s">
        <v>57</v>
      </c>
      <c r="AE117" s="6" t="s">
        <v>641</v>
      </c>
      <c r="AF117" t="s">
        <v>648</v>
      </c>
      <c r="AG117" t="str">
        <f>+_xlfn.CONCAT(ListingTable[[#This Row],[Program2]],ListingTable[[#This Row],[Start date]])</f>
        <v>FSC1901943595</v>
      </c>
      <c r="AH117" t="s">
        <v>48</v>
      </c>
    </row>
    <row r="118" spans="1:34" x14ac:dyDescent="0.25">
      <c r="A118" s="1" t="s">
        <v>485</v>
      </c>
      <c r="B118" s="1" t="str">
        <f>SUBSTITUTE(ListingTable[[#This Row],[Program]],".zip","_case.pptx")</f>
        <v>FSC18054_902467_20181130_12_case.pptx</v>
      </c>
      <c r="C118" s="83" t="s">
        <v>837</v>
      </c>
      <c r="D118" s="78"/>
      <c r="E118" s="78"/>
      <c r="F118" s="2" t="s">
        <v>40</v>
      </c>
      <c r="G118" s="3">
        <v>43434</v>
      </c>
      <c r="H118" s="4">
        <v>43440</v>
      </c>
      <c r="I118" s="30" t="s">
        <v>486</v>
      </c>
      <c r="J118" s="4" t="s">
        <v>487</v>
      </c>
      <c r="K118" s="5" t="s">
        <v>93</v>
      </c>
      <c r="L118" s="5" t="s">
        <v>121</v>
      </c>
      <c r="M118" s="5">
        <v>13</v>
      </c>
      <c r="N118" s="5">
        <v>90</v>
      </c>
      <c r="O118" s="5">
        <v>589</v>
      </c>
      <c r="P118" s="5">
        <v>0</v>
      </c>
      <c r="Q118" s="5">
        <v>7339103</v>
      </c>
      <c r="R118" s="5">
        <v>691940</v>
      </c>
      <c r="S118" s="27">
        <v>12460.27674023769</v>
      </c>
      <c r="T118" s="27">
        <v>1174.7707979626487</v>
      </c>
      <c r="U118" s="7">
        <v>9.4281276608326664E-2</v>
      </c>
      <c r="V118" s="7">
        <v>5.5326511835065081E-2</v>
      </c>
      <c r="W118" s="8">
        <v>8.8366920001059238E-2</v>
      </c>
      <c r="X118" s="24">
        <v>0.55416677700394568</v>
      </c>
      <c r="Y118" s="24">
        <v>0.51682864179223054</v>
      </c>
      <c r="Z118" s="24">
        <v>0.23237030956226995</v>
      </c>
      <c r="AA118" s="24">
        <v>0.25080104864549957</v>
      </c>
      <c r="AB118" s="24">
        <v>0.6701496052271948</v>
      </c>
      <c r="AC118" s="24"/>
      <c r="AD118" s="6" t="s">
        <v>36</v>
      </c>
      <c r="AE118" s="6" t="s">
        <v>41</v>
      </c>
      <c r="AF118" t="s">
        <v>488</v>
      </c>
      <c r="AG118" t="s">
        <v>489</v>
      </c>
      <c r="AH118" t="s">
        <v>48</v>
      </c>
    </row>
    <row r="119" spans="1:34" ht="45" x14ac:dyDescent="0.25">
      <c r="A119" s="1" t="s">
        <v>306</v>
      </c>
      <c r="B119" s="1" t="str">
        <f>SUBSTITUTE(ListingTable[[#This Row],[Program]],".zip","_case.pptx")</f>
        <v>FSC18096_980126238_20181207_12_case.pptx</v>
      </c>
      <c r="C119" s="83" t="s">
        <v>838</v>
      </c>
      <c r="D119" s="78" t="s">
        <v>598</v>
      </c>
      <c r="E119" s="78" t="s">
        <v>602</v>
      </c>
      <c r="F119" s="2" t="s">
        <v>40</v>
      </c>
      <c r="G119" s="3">
        <v>43441</v>
      </c>
      <c r="H119" s="4">
        <v>43447</v>
      </c>
      <c r="I119" s="30" t="s">
        <v>307</v>
      </c>
      <c r="J119" s="4" t="s">
        <v>308</v>
      </c>
      <c r="K119" s="5" t="s">
        <v>34</v>
      </c>
      <c r="L119" s="5" t="s">
        <v>309</v>
      </c>
      <c r="M119" s="5">
        <v>54</v>
      </c>
      <c r="N119" s="5">
        <v>7</v>
      </c>
      <c r="O119" s="5">
        <v>76</v>
      </c>
      <c r="P119" s="5">
        <v>504</v>
      </c>
      <c r="Q119" s="5">
        <v>978072</v>
      </c>
      <c r="R119" s="5">
        <v>49417</v>
      </c>
      <c r="S119" s="27">
        <v>12869.368421052632</v>
      </c>
      <c r="T119" s="27">
        <v>650.22368421052636</v>
      </c>
      <c r="U119" s="7">
        <v>5.0524910231557592E-2</v>
      </c>
      <c r="V119" s="7">
        <v>1.4710094521052416E-2</v>
      </c>
      <c r="W119" s="8">
        <v>8.6230876216968011E-2</v>
      </c>
      <c r="X119" s="24">
        <v>0.43532684283727396</v>
      </c>
      <c r="Y119" s="24">
        <v>0.88595271210013904</v>
      </c>
      <c r="Z119" s="24">
        <v>8.9012517385257298E-2</v>
      </c>
      <c r="AA119" s="24">
        <v>2.5034770514603615E-2</v>
      </c>
      <c r="AB119" s="24">
        <v>3.2010398613518203</v>
      </c>
      <c r="AC119" s="24">
        <v>-1.2031834090382561E-2</v>
      </c>
      <c r="AD119" s="6" t="s">
        <v>57</v>
      </c>
      <c r="AE119" s="6" t="s">
        <v>41</v>
      </c>
      <c r="AF119" t="s">
        <v>304</v>
      </c>
      <c r="AG119" t="s">
        <v>305</v>
      </c>
      <c r="AH119" t="s">
        <v>34</v>
      </c>
    </row>
    <row r="120" spans="1:34" x14ac:dyDescent="0.25">
      <c r="A120" s="1" t="s">
        <v>388</v>
      </c>
      <c r="B120" s="1" t="str">
        <f>SUBSTITUTE(ListingTable[[#This Row],[Program]],".zip","_case.pptx")</f>
        <v>FSC18041_469800_20180615_12_case.pptx</v>
      </c>
      <c r="C120" s="83" t="s">
        <v>839</v>
      </c>
      <c r="D120" s="78"/>
      <c r="E120" s="78"/>
      <c r="F120" s="2" t="s">
        <v>40</v>
      </c>
      <c r="G120" s="3">
        <v>43266</v>
      </c>
      <c r="H120" s="4">
        <v>43272</v>
      </c>
      <c r="I120" s="30" t="s">
        <v>389</v>
      </c>
      <c r="J120" s="4" t="s">
        <v>390</v>
      </c>
      <c r="K120" s="5" t="s">
        <v>34</v>
      </c>
      <c r="L120" s="5" t="s">
        <v>381</v>
      </c>
      <c r="M120" s="5">
        <v>54</v>
      </c>
      <c r="N120" s="5">
        <v>2</v>
      </c>
      <c r="O120" s="5">
        <v>167</v>
      </c>
      <c r="P120" s="5">
        <v>422</v>
      </c>
      <c r="Q120" s="5">
        <v>1847296</v>
      </c>
      <c r="R120" s="5">
        <v>115490</v>
      </c>
      <c r="S120" s="27">
        <v>11061.652694610779</v>
      </c>
      <c r="T120" s="27">
        <v>691.55688622754496</v>
      </c>
      <c r="U120" s="7">
        <v>6.2518405279933478E-2</v>
      </c>
      <c r="V120" s="7">
        <v>6.1376589215256464E-3</v>
      </c>
      <c r="W120" s="8">
        <v>8.5714285714285715E-2</v>
      </c>
      <c r="X120" s="24">
        <v>0.35714285714285715</v>
      </c>
      <c r="Y120" s="24">
        <v>0.46</v>
      </c>
      <c r="Z120" s="24">
        <v>0.18</v>
      </c>
      <c r="AA120" s="24">
        <v>0.36</v>
      </c>
      <c r="AB120" s="24">
        <v>0.24576434019551607</v>
      </c>
      <c r="AC120" s="24">
        <v>-9.0819569097826389E-2</v>
      </c>
      <c r="AD120" s="6" t="s">
        <v>36</v>
      </c>
      <c r="AE120" s="6" t="s">
        <v>372</v>
      </c>
      <c r="AF120" t="s">
        <v>373</v>
      </c>
      <c r="AG120" t="s">
        <v>374</v>
      </c>
      <c r="AH120" t="s">
        <v>34</v>
      </c>
    </row>
    <row r="121" spans="1:34" x14ac:dyDescent="0.25">
      <c r="A121" s="1" t="s">
        <v>402</v>
      </c>
      <c r="B121" s="1" t="str">
        <f>SUBSTITUTE(ListingTable[[#This Row],[Program]],".zip","_case.pptx")</f>
        <v>FSC18041_70690_20180615_12_case.pptx</v>
      </c>
      <c r="C121" s="83" t="s">
        <v>840</v>
      </c>
      <c r="D121" s="78"/>
      <c r="E121" s="78"/>
      <c r="F121" s="2" t="s">
        <v>40</v>
      </c>
      <c r="G121" s="3">
        <v>43266</v>
      </c>
      <c r="H121" s="4">
        <v>43272</v>
      </c>
      <c r="I121" s="30" t="s">
        <v>403</v>
      </c>
      <c r="J121" s="4" t="s">
        <v>404</v>
      </c>
      <c r="K121" s="5" t="s">
        <v>34</v>
      </c>
      <c r="L121" s="5" t="s">
        <v>189</v>
      </c>
      <c r="M121" s="5">
        <v>54</v>
      </c>
      <c r="N121" s="5">
        <v>1</v>
      </c>
      <c r="O121" s="5">
        <v>167</v>
      </c>
      <c r="P121" s="5">
        <v>422</v>
      </c>
      <c r="Q121" s="5">
        <v>1847296</v>
      </c>
      <c r="R121" s="5">
        <v>115490</v>
      </c>
      <c r="S121" s="27">
        <v>11061.652694610779</v>
      </c>
      <c r="T121" s="27">
        <v>691.55688622754496</v>
      </c>
      <c r="U121" s="7">
        <v>6.2518405279933478E-2</v>
      </c>
      <c r="V121" s="7">
        <v>1.2003507233669443E-2</v>
      </c>
      <c r="W121" s="8">
        <v>8.5463842220598982E-2</v>
      </c>
      <c r="X121" s="24">
        <v>0.39663988312636961</v>
      </c>
      <c r="Y121" s="24">
        <v>0.38714390065741416</v>
      </c>
      <c r="Z121" s="24">
        <v>0.23886048210372535</v>
      </c>
      <c r="AA121" s="24">
        <v>0.37399561723886049</v>
      </c>
      <c r="AB121" s="24">
        <v>-8.7410452637775651E-2</v>
      </c>
      <c r="AC121" s="24">
        <v>-0.31297101515357001</v>
      </c>
      <c r="AD121" s="6" t="s">
        <v>36</v>
      </c>
      <c r="AE121" s="6" t="s">
        <v>372</v>
      </c>
      <c r="AF121" t="s">
        <v>373</v>
      </c>
      <c r="AG121" t="s">
        <v>374</v>
      </c>
      <c r="AH121" t="s">
        <v>34</v>
      </c>
    </row>
    <row r="122" spans="1:34" x14ac:dyDescent="0.25">
      <c r="A122" s="1" t="s">
        <v>163</v>
      </c>
      <c r="B122" s="1" t="str">
        <f>SUBSTITUTE(ListingTable[[#This Row],[Program]],".zip","_case.pptx")</f>
        <v>FSC18088_92801_20181026_12_case.pptx</v>
      </c>
      <c r="C122" s="83" t="s">
        <v>841</v>
      </c>
      <c r="D122" s="78"/>
      <c r="E122" s="78"/>
      <c r="F122" s="2" t="s">
        <v>40</v>
      </c>
      <c r="G122" s="3">
        <v>43399</v>
      </c>
      <c r="H122" s="4">
        <v>43405</v>
      </c>
      <c r="I122" s="30" t="s">
        <v>95</v>
      </c>
      <c r="J122" s="4" t="s">
        <v>96</v>
      </c>
      <c r="K122" s="5" t="s">
        <v>69</v>
      </c>
      <c r="L122" s="5" t="s">
        <v>70</v>
      </c>
      <c r="M122" s="5">
        <v>78</v>
      </c>
      <c r="N122" s="5">
        <v>1</v>
      </c>
      <c r="O122" s="5">
        <v>589</v>
      </c>
      <c r="P122" s="5">
        <v>0</v>
      </c>
      <c r="Q122" s="5">
        <v>7004969</v>
      </c>
      <c r="R122" s="5">
        <v>1085790</v>
      </c>
      <c r="S122" s="27">
        <v>11892.986417657046</v>
      </c>
      <c r="T122" s="27">
        <v>1843.446519524618</v>
      </c>
      <c r="U122" s="7">
        <v>0.15500282727875028</v>
      </c>
      <c r="V122" s="7">
        <v>1.6034763735768572E-2</v>
      </c>
      <c r="W122" s="8">
        <v>8.4304197646507817E-2</v>
      </c>
      <c r="X122" s="24">
        <v>0.62759791581289148</v>
      </c>
      <c r="Y122" s="24">
        <v>0.7024178912241672</v>
      </c>
      <c r="Z122" s="24">
        <v>0.15537731982904981</v>
      </c>
      <c r="AA122" s="24">
        <v>0.14220478894678298</v>
      </c>
      <c r="AB122" s="24">
        <v>0.59826103660281882</v>
      </c>
      <c r="AC122" s="24"/>
      <c r="AD122" s="6" t="s">
        <v>57</v>
      </c>
      <c r="AE122" s="6" t="s">
        <v>71</v>
      </c>
      <c r="AF122" t="s">
        <v>164</v>
      </c>
      <c r="AG122" t="s">
        <v>165</v>
      </c>
      <c r="AH122" t="s">
        <v>42</v>
      </c>
    </row>
    <row r="123" spans="1:34" x14ac:dyDescent="0.25">
      <c r="A123" s="1" t="s">
        <v>605</v>
      </c>
      <c r="B123" s="29" t="str">
        <f>SUBSTITUTE(ListingTable[[#This Row],[Program]],".zip","_case.pptx")</f>
        <v>FSC18129_980125399_20190405_12_case.pptx</v>
      </c>
      <c r="C123" s="84" t="s">
        <v>842</v>
      </c>
      <c r="D123" s="78" t="s">
        <v>659</v>
      </c>
      <c r="E123" s="78"/>
      <c r="F123" s="2" t="s">
        <v>40</v>
      </c>
      <c r="G123" s="3">
        <v>43560</v>
      </c>
      <c r="H123" s="4">
        <v>43566</v>
      </c>
      <c r="I123" s="30">
        <v>980125399</v>
      </c>
      <c r="J123" s="4" t="s">
        <v>624</v>
      </c>
      <c r="K123" s="5" t="s">
        <v>77</v>
      </c>
      <c r="L123" s="5" t="s">
        <v>324</v>
      </c>
      <c r="M123" s="5">
        <v>2</v>
      </c>
      <c r="N123" s="5">
        <v>5</v>
      </c>
      <c r="O123" s="5">
        <v>97</v>
      </c>
      <c r="P123" s="5">
        <v>1</v>
      </c>
      <c r="Q123" s="5">
        <v>1225974</v>
      </c>
      <c r="R123" s="5">
        <v>133501</v>
      </c>
      <c r="S123" s="27">
        <v>12638.907216494845</v>
      </c>
      <c r="T123" s="27">
        <v>1376.2989690721649</v>
      </c>
      <c r="U123" s="7">
        <v>0.109</v>
      </c>
      <c r="V123" s="7">
        <v>1.4999999999999999E-2</v>
      </c>
      <c r="W123" s="8">
        <v>8.2000000000000003E-2</v>
      </c>
      <c r="X123" s="24">
        <v>0.435</v>
      </c>
      <c r="Y123" s="24">
        <v>0.46</v>
      </c>
      <c r="Z123" s="24">
        <v>0.45</v>
      </c>
      <c r="AA123" s="24">
        <v>0.08</v>
      </c>
      <c r="AB123" s="24">
        <v>1.1100000000000001</v>
      </c>
      <c r="AC123" s="24">
        <v>3</v>
      </c>
      <c r="AD123" s="6" t="s">
        <v>57</v>
      </c>
      <c r="AE123" s="6" t="s">
        <v>71</v>
      </c>
      <c r="AF123" t="s">
        <v>642</v>
      </c>
      <c r="AG123" t="str">
        <f>+_xlfn.CONCAT(ListingTable[[#This Row],[Program2]],ListingTable[[#This Row],[Start date]])</f>
        <v>FSC1812943560</v>
      </c>
      <c r="AH123" t="s">
        <v>48</v>
      </c>
    </row>
    <row r="124" spans="1:34" ht="30" x14ac:dyDescent="0.25">
      <c r="A124" s="1" t="s">
        <v>94</v>
      </c>
      <c r="B124" s="1" t="str">
        <f>SUBSTITUTE(ListingTable[[#This Row],[Program]],".zip","_case.pptx")</f>
        <v>FSC18107_92801_20181207_12_case.pptx</v>
      </c>
      <c r="C124" s="83" t="s">
        <v>843</v>
      </c>
      <c r="D124" s="78" t="s">
        <v>685</v>
      </c>
      <c r="E124" s="78" t="s">
        <v>686</v>
      </c>
      <c r="F124" s="2" t="s">
        <v>40</v>
      </c>
      <c r="G124" s="3">
        <v>43441</v>
      </c>
      <c r="H124" s="4">
        <v>43447</v>
      </c>
      <c r="I124" s="30" t="s">
        <v>95</v>
      </c>
      <c r="J124" s="4" t="s">
        <v>96</v>
      </c>
      <c r="K124" s="5" t="s">
        <v>69</v>
      </c>
      <c r="L124" s="5" t="s">
        <v>70</v>
      </c>
      <c r="M124" s="5">
        <v>78</v>
      </c>
      <c r="N124" s="5">
        <v>1</v>
      </c>
      <c r="O124" s="5">
        <v>55</v>
      </c>
      <c r="P124" s="5">
        <v>483</v>
      </c>
      <c r="Q124" s="5">
        <v>568721</v>
      </c>
      <c r="R124" s="5">
        <v>91297</v>
      </c>
      <c r="S124" s="27">
        <v>10340.381818181819</v>
      </c>
      <c r="T124" s="27">
        <v>1659.9454545454546</v>
      </c>
      <c r="U124" s="7">
        <v>0.16053038308766512</v>
      </c>
      <c r="V124" s="7">
        <v>1.5727725511898175E-2</v>
      </c>
      <c r="W124" s="8">
        <v>7.7410274454609435E-2</v>
      </c>
      <c r="X124" s="24">
        <v>0.58550316678395498</v>
      </c>
      <c r="Y124" s="24">
        <v>0.70443349753694584</v>
      </c>
      <c r="Z124" s="24">
        <v>0.14919071076706544</v>
      </c>
      <c r="AA124" s="24">
        <v>0.14637579169598874</v>
      </c>
      <c r="AB124" s="24">
        <v>1.3708712782468653</v>
      </c>
      <c r="AC124" s="24">
        <v>0.19685540911836463</v>
      </c>
      <c r="AD124" s="6" t="s">
        <v>57</v>
      </c>
      <c r="AE124" s="6" t="s">
        <v>41</v>
      </c>
      <c r="AF124" t="s">
        <v>97</v>
      </c>
      <c r="AG124" t="s">
        <v>98</v>
      </c>
      <c r="AH124" t="s">
        <v>42</v>
      </c>
    </row>
    <row r="125" spans="1:34" ht="45" x14ac:dyDescent="0.25">
      <c r="A125" s="1" t="s">
        <v>178</v>
      </c>
      <c r="B125" s="1" t="str">
        <f>SUBSTITUTE(ListingTable[[#This Row],[Program]],".zip","_case.pptx")</f>
        <v>FSC18131_788103_20190315_12_case.pptx</v>
      </c>
      <c r="C125" s="83" t="s">
        <v>844</v>
      </c>
      <c r="D125" s="78" t="s">
        <v>718</v>
      </c>
      <c r="E125" s="78" t="s">
        <v>719</v>
      </c>
      <c r="F125" s="2" t="s">
        <v>40</v>
      </c>
      <c r="G125" s="3">
        <v>43539</v>
      </c>
      <c r="H125" s="4">
        <v>43545</v>
      </c>
      <c r="I125" s="30" t="s">
        <v>134</v>
      </c>
      <c r="J125" s="4" t="s">
        <v>135</v>
      </c>
      <c r="K125" s="5" t="s">
        <v>77</v>
      </c>
      <c r="L125" s="5" t="s">
        <v>136</v>
      </c>
      <c r="M125" s="5">
        <v>2</v>
      </c>
      <c r="N125" s="5">
        <v>21</v>
      </c>
      <c r="O125" s="5">
        <v>565</v>
      </c>
      <c r="P125" s="5">
        <v>4</v>
      </c>
      <c r="Q125" s="5">
        <v>6547952</v>
      </c>
      <c r="R125" s="5">
        <v>155762</v>
      </c>
      <c r="S125" s="27">
        <v>11589.295575221238</v>
      </c>
      <c r="T125" s="27">
        <v>275.68495575221237</v>
      </c>
      <c r="U125" s="7">
        <v>2.3787895818417729E-2</v>
      </c>
      <c r="V125" s="7">
        <v>6.3743172214778931E-2</v>
      </c>
      <c r="W125" s="8">
        <v>7.7000808407437352E-2</v>
      </c>
      <c r="X125" s="24">
        <v>0.91168148746968469</v>
      </c>
      <c r="Y125" s="24">
        <v>0.76343977364591753</v>
      </c>
      <c r="Z125" s="24">
        <v>0.12055375909458367</v>
      </c>
      <c r="AA125" s="24">
        <v>0.11600646725949879</v>
      </c>
      <c r="AB125" s="24">
        <v>1.4880431368027922</v>
      </c>
      <c r="AC125" s="24">
        <v>-1</v>
      </c>
      <c r="AD125" s="6" t="s">
        <v>36</v>
      </c>
      <c r="AE125" s="6" t="s">
        <v>170</v>
      </c>
      <c r="AF125" t="s">
        <v>171</v>
      </c>
      <c r="AG125" t="s">
        <v>172</v>
      </c>
      <c r="AH125" t="s">
        <v>48</v>
      </c>
    </row>
    <row r="126" spans="1:34" x14ac:dyDescent="0.25">
      <c r="A126" s="1" t="s">
        <v>220</v>
      </c>
      <c r="B126" s="1" t="str">
        <f>SUBSTITUTE(ListingTable[[#This Row],[Program]],".zip","_case.pptx")</f>
        <v>FSC18036_66683_20180608_12_case.pptx</v>
      </c>
      <c r="C126" s="83" t="s">
        <v>845</v>
      </c>
      <c r="D126" s="78"/>
      <c r="E126" s="78"/>
      <c r="F126" s="2" t="s">
        <v>40</v>
      </c>
      <c r="G126" s="3">
        <v>43259</v>
      </c>
      <c r="H126" s="4">
        <v>43265</v>
      </c>
      <c r="I126" s="30" t="s">
        <v>221</v>
      </c>
      <c r="J126" s="4" t="s">
        <v>222</v>
      </c>
      <c r="K126" s="5" t="s">
        <v>77</v>
      </c>
      <c r="L126" s="5" t="s">
        <v>215</v>
      </c>
      <c r="M126" s="5">
        <v>2</v>
      </c>
      <c r="N126" s="5">
        <v>8</v>
      </c>
      <c r="O126" s="5">
        <v>589</v>
      </c>
      <c r="P126" s="5">
        <v>0</v>
      </c>
      <c r="Q126" s="5">
        <v>7079248</v>
      </c>
      <c r="R126" s="5">
        <v>214478</v>
      </c>
      <c r="S126" s="27">
        <v>12019.096774193549</v>
      </c>
      <c r="T126" s="27">
        <v>364.13921901528016</v>
      </c>
      <c r="U126" s="7">
        <v>3.0296720781642344E-2</v>
      </c>
      <c r="V126" s="7">
        <v>4.0506139211724274E-2</v>
      </c>
      <c r="W126" s="8">
        <v>7.6967592592592587E-2</v>
      </c>
      <c r="X126" s="24">
        <v>0.44571759259259258</v>
      </c>
      <c r="Y126" s="24">
        <v>0.50219907407407405</v>
      </c>
      <c r="Z126" s="24">
        <v>0.17141203703703703</v>
      </c>
      <c r="AA126" s="24">
        <v>0.3263888888888889</v>
      </c>
      <c r="AB126" s="24">
        <v>0.31528475696483582</v>
      </c>
      <c r="AC126" s="24"/>
      <c r="AD126" s="6" t="s">
        <v>36</v>
      </c>
      <c r="AE126" s="6" t="s">
        <v>37</v>
      </c>
      <c r="AF126" t="s">
        <v>210</v>
      </c>
      <c r="AG126" t="s">
        <v>211</v>
      </c>
      <c r="AH126" t="s">
        <v>48</v>
      </c>
    </row>
    <row r="127" spans="1:34" x14ac:dyDescent="0.25">
      <c r="A127" s="1" t="s">
        <v>532</v>
      </c>
      <c r="B127" s="1" t="str">
        <f>SUBSTITUTE(ListingTable[[#This Row],[Program]],".zip","_case.pptx")</f>
        <v>FSC18108_326282_20181207_12_case.pptx</v>
      </c>
      <c r="C127" s="83" t="s">
        <v>846</v>
      </c>
      <c r="D127" s="78"/>
      <c r="E127" s="78"/>
      <c r="F127" s="2" t="s">
        <v>40</v>
      </c>
      <c r="G127" s="3">
        <v>43441</v>
      </c>
      <c r="H127" s="4">
        <v>43447</v>
      </c>
      <c r="I127" s="30" t="s">
        <v>475</v>
      </c>
      <c r="J127" s="4" t="s">
        <v>476</v>
      </c>
      <c r="K127" s="5" t="s">
        <v>34</v>
      </c>
      <c r="L127" s="5" t="s">
        <v>189</v>
      </c>
      <c r="M127" s="5">
        <v>54</v>
      </c>
      <c r="N127" s="5">
        <v>1</v>
      </c>
      <c r="O127" s="5">
        <v>150</v>
      </c>
      <c r="P127" s="5">
        <v>368</v>
      </c>
      <c r="Q127" s="5">
        <v>2038986</v>
      </c>
      <c r="R127" s="5">
        <v>168635</v>
      </c>
      <c r="S127" s="27">
        <v>13593.24</v>
      </c>
      <c r="T127" s="27">
        <v>1124.2333333333333</v>
      </c>
      <c r="U127" s="7">
        <v>8.270532509786728E-2</v>
      </c>
      <c r="V127" s="7">
        <v>1.3571539946985236E-2</v>
      </c>
      <c r="W127" s="8">
        <v>7.5563411400795408E-2</v>
      </c>
      <c r="X127" s="24">
        <v>0.35439681838267784</v>
      </c>
      <c r="Y127" s="24">
        <v>0.69642068051259387</v>
      </c>
      <c r="Z127" s="24">
        <v>0.23331860362350862</v>
      </c>
      <c r="AA127" s="24">
        <v>7.0260715863897483E-2</v>
      </c>
      <c r="AB127" s="24">
        <v>1.8961872307699961</v>
      </c>
      <c r="AC127" s="24">
        <v>3.3831182070445484E-2</v>
      </c>
      <c r="AD127" s="6" t="s">
        <v>57</v>
      </c>
      <c r="AE127" s="6" t="s">
        <v>41</v>
      </c>
      <c r="AF127" t="s">
        <v>533</v>
      </c>
      <c r="AG127" t="s">
        <v>534</v>
      </c>
      <c r="AH127" t="s">
        <v>34</v>
      </c>
    </row>
    <row r="128" spans="1:34" x14ac:dyDescent="0.25">
      <c r="A128" s="1" t="s">
        <v>518</v>
      </c>
      <c r="B128" s="1" t="str">
        <f>SUBSTITUTE(ListingTable[[#This Row],[Program]],".zip","_case.pptx")</f>
        <v>FSC18011_980026672_20180330_12_case.pptx</v>
      </c>
      <c r="C128" s="83" t="s">
        <v>847</v>
      </c>
      <c r="D128" s="78"/>
      <c r="E128" s="78"/>
      <c r="F128" s="2" t="s">
        <v>40</v>
      </c>
      <c r="G128" s="3">
        <v>43189</v>
      </c>
      <c r="H128" s="4">
        <v>43195</v>
      </c>
      <c r="I128" s="30" t="s">
        <v>519</v>
      </c>
      <c r="J128" s="4" t="s">
        <v>520</v>
      </c>
      <c r="K128" s="5" t="s">
        <v>34</v>
      </c>
      <c r="L128" s="5" t="s">
        <v>381</v>
      </c>
      <c r="M128" s="5">
        <v>54</v>
      </c>
      <c r="N128" s="5">
        <v>2</v>
      </c>
      <c r="O128" s="5">
        <v>130</v>
      </c>
      <c r="P128" s="5">
        <v>419</v>
      </c>
      <c r="Q128" s="5">
        <v>1734868</v>
      </c>
      <c r="R128" s="5">
        <v>135741</v>
      </c>
      <c r="S128" s="27">
        <v>13345.138461538461</v>
      </c>
      <c r="T128" s="27">
        <v>1044.1615384615384</v>
      </c>
      <c r="U128" s="7">
        <v>7.8242840377481165E-2</v>
      </c>
      <c r="V128" s="7">
        <v>1.0798283005931976E-2</v>
      </c>
      <c r="W128" s="8">
        <v>7.522429261559696E-2</v>
      </c>
      <c r="X128" s="24">
        <v>0.66252587991718426</v>
      </c>
      <c r="Y128" s="24">
        <v>0.66873706004140787</v>
      </c>
      <c r="Z128" s="24">
        <v>0.17184265010351968</v>
      </c>
      <c r="AA128" s="24">
        <v>0.15942028985507245</v>
      </c>
      <c r="AB128" s="24">
        <v>0.899330655957162</v>
      </c>
      <c r="AC128" s="24">
        <v>-0.41446804768630252</v>
      </c>
      <c r="AD128" s="6" t="s">
        <v>57</v>
      </c>
      <c r="AE128" s="6" t="s">
        <v>71</v>
      </c>
      <c r="AF128" t="s">
        <v>510</v>
      </c>
      <c r="AG128" t="s">
        <v>511</v>
      </c>
      <c r="AH128" t="s">
        <v>34</v>
      </c>
    </row>
    <row r="129" spans="1:34" x14ac:dyDescent="0.25">
      <c r="A129" s="1" t="s">
        <v>509</v>
      </c>
      <c r="B129" s="1" t="str">
        <f>SUBSTITUTE(ListingTable[[#This Row],[Program]],".zip","_case.pptx")</f>
        <v>FSC18011_351889_20180330_12_case.pptx</v>
      </c>
      <c r="C129" s="83" t="s">
        <v>848</v>
      </c>
      <c r="D129" s="78"/>
      <c r="E129" s="78"/>
      <c r="F129" s="2" t="s">
        <v>40</v>
      </c>
      <c r="G129" s="3">
        <v>43189</v>
      </c>
      <c r="H129" s="4">
        <v>43195</v>
      </c>
      <c r="I129" s="30" t="s">
        <v>468</v>
      </c>
      <c r="J129" s="4" t="s">
        <v>469</v>
      </c>
      <c r="K129" s="5" t="s">
        <v>34</v>
      </c>
      <c r="L129" s="5" t="s">
        <v>470</v>
      </c>
      <c r="M129" s="5">
        <v>54</v>
      </c>
      <c r="N129" s="5">
        <v>32</v>
      </c>
      <c r="O129" s="5">
        <v>130</v>
      </c>
      <c r="P129" s="5">
        <v>459</v>
      </c>
      <c r="Q129" s="5">
        <v>1734868</v>
      </c>
      <c r="R129" s="5">
        <v>135741</v>
      </c>
      <c r="S129" s="27">
        <v>13345.138461538461</v>
      </c>
      <c r="T129" s="27">
        <v>1044.1615384615384</v>
      </c>
      <c r="U129" s="7">
        <v>7.8242840377481165E-2</v>
      </c>
      <c r="V129" s="7">
        <v>6.8858616269711148E-3</v>
      </c>
      <c r="W129" s="8">
        <v>7.4675324675324672E-2</v>
      </c>
      <c r="X129" s="24">
        <v>0.37012987012987014</v>
      </c>
      <c r="Y129" s="24">
        <v>0.60173160173160178</v>
      </c>
      <c r="Z129" s="24">
        <v>0.1038961038961039</v>
      </c>
      <c r="AA129" s="24">
        <v>0.2943722943722944</v>
      </c>
      <c r="AB129" s="24">
        <v>-0.46240374384623467</v>
      </c>
      <c r="AC129" s="24">
        <v>-0.52453154787917</v>
      </c>
      <c r="AD129" s="6" t="s">
        <v>36</v>
      </c>
      <c r="AE129" s="6" t="s">
        <v>71</v>
      </c>
      <c r="AF129" t="s">
        <v>510</v>
      </c>
      <c r="AG129" t="s">
        <v>511</v>
      </c>
      <c r="AH129" t="s">
        <v>34</v>
      </c>
    </row>
    <row r="130" spans="1:34" x14ac:dyDescent="0.25">
      <c r="A130" s="1" t="s">
        <v>207</v>
      </c>
      <c r="B130" s="1" t="str">
        <f>SUBSTITUTE(ListingTable[[#This Row],[Program]],".zip","_case.pptx")</f>
        <v>FSC18036_283398_20180608_12_case.pptx</v>
      </c>
      <c r="C130" s="83" t="s">
        <v>849</v>
      </c>
      <c r="D130" s="78"/>
      <c r="E130" s="78"/>
      <c r="F130" s="2" t="s">
        <v>40</v>
      </c>
      <c r="G130" s="3">
        <v>43259</v>
      </c>
      <c r="H130" s="4">
        <v>43265</v>
      </c>
      <c r="I130" s="30" t="s">
        <v>208</v>
      </c>
      <c r="J130" s="4" t="s">
        <v>209</v>
      </c>
      <c r="K130" s="5" t="s">
        <v>77</v>
      </c>
      <c r="L130" s="5" t="s">
        <v>78</v>
      </c>
      <c r="M130" s="5">
        <v>2</v>
      </c>
      <c r="N130" s="5">
        <v>10</v>
      </c>
      <c r="O130" s="5">
        <v>263</v>
      </c>
      <c r="P130" s="5">
        <v>0</v>
      </c>
      <c r="Q130" s="5">
        <v>3243215</v>
      </c>
      <c r="R130" s="5">
        <v>98175</v>
      </c>
      <c r="S130" s="27">
        <v>12331.61596958175</v>
      </c>
      <c r="T130" s="27">
        <v>373.28897338403044</v>
      </c>
      <c r="U130" s="7">
        <v>3.0270888608988303E-2</v>
      </c>
      <c r="V130" s="7">
        <v>7.1340964840556007E-3</v>
      </c>
      <c r="W130" s="8">
        <v>7.4498567335243557E-2</v>
      </c>
      <c r="X130" s="24">
        <v>0.66189111747851004</v>
      </c>
      <c r="Y130" s="24">
        <v>0.63037249283667618</v>
      </c>
      <c r="Z130" s="24">
        <v>0.13753581661891118</v>
      </c>
      <c r="AA130" s="24">
        <v>0.23209169054441262</v>
      </c>
      <c r="AB130" s="24">
        <v>0.49975795156814107</v>
      </c>
      <c r="AC130" s="24"/>
      <c r="AD130" s="6" t="s">
        <v>36</v>
      </c>
      <c r="AE130" s="6" t="s">
        <v>37</v>
      </c>
      <c r="AF130" t="s">
        <v>210</v>
      </c>
      <c r="AG130" t="s">
        <v>211</v>
      </c>
      <c r="AH130" t="s">
        <v>48</v>
      </c>
    </row>
    <row r="131" spans="1:34" x14ac:dyDescent="0.25">
      <c r="A131" s="1" t="s">
        <v>454</v>
      </c>
      <c r="B131" s="1" t="str">
        <f>SUBSTITUTE(ListingTable[[#This Row],[Program]],".zip","_case.pptx")</f>
        <v>FSC18063_713998_20190315_12_case.pptx</v>
      </c>
      <c r="C131" s="83" t="s">
        <v>850</v>
      </c>
      <c r="D131" s="78"/>
      <c r="E131" s="78"/>
      <c r="F131" s="2" t="s">
        <v>40</v>
      </c>
      <c r="G131" s="3">
        <v>43539</v>
      </c>
      <c r="H131" s="4">
        <v>43545</v>
      </c>
      <c r="I131" s="30" t="s">
        <v>442</v>
      </c>
      <c r="J131" s="4" t="s">
        <v>443</v>
      </c>
      <c r="K131" s="5" t="s">
        <v>34</v>
      </c>
      <c r="L131" s="5" t="s">
        <v>444</v>
      </c>
      <c r="M131" s="5">
        <v>54</v>
      </c>
      <c r="N131" s="5">
        <v>12</v>
      </c>
      <c r="O131" s="5">
        <v>24</v>
      </c>
      <c r="P131" s="5">
        <v>559</v>
      </c>
      <c r="Q131" s="5">
        <v>279047</v>
      </c>
      <c r="R131" s="5">
        <v>19843</v>
      </c>
      <c r="S131" s="27">
        <v>11626.958333333334</v>
      </c>
      <c r="T131" s="27">
        <v>826.79166666666663</v>
      </c>
      <c r="U131" s="7">
        <v>7.1109884714761318E-2</v>
      </c>
      <c r="V131" s="7">
        <v>2.0944013077237433E-3</v>
      </c>
      <c r="W131" s="8">
        <v>7.3170731707317069E-2</v>
      </c>
      <c r="X131" s="24">
        <v>0.21951219512195122</v>
      </c>
      <c r="Y131" s="24">
        <v>0.53658536585365857</v>
      </c>
      <c r="Z131" s="24">
        <v>0.21951219512195122</v>
      </c>
      <c r="AA131" s="24">
        <v>0.24390243902439024</v>
      </c>
      <c r="AB131" s="24">
        <v>-0.39550162730084126</v>
      </c>
      <c r="AC131" s="24">
        <v>-0.30822540855099695</v>
      </c>
      <c r="AD131" s="6" t="s">
        <v>36</v>
      </c>
      <c r="AE131" s="6" t="s">
        <v>41</v>
      </c>
      <c r="AF131" t="s">
        <v>437</v>
      </c>
      <c r="AG131" t="s">
        <v>450</v>
      </c>
      <c r="AH131" t="s">
        <v>34</v>
      </c>
    </row>
    <row r="132" spans="1:34" x14ac:dyDescent="0.25">
      <c r="A132" s="1" t="s">
        <v>108</v>
      </c>
      <c r="B132" s="1" t="str">
        <f>SUBSTITUTE(ListingTable[[#This Row],[Program]],".zip","_case.pptx")</f>
        <v>FSC18100_850895_20181115_12_case.pptx</v>
      </c>
      <c r="C132" s="83" t="s">
        <v>851</v>
      </c>
      <c r="D132" s="78"/>
      <c r="E132" s="78"/>
      <c r="F132" s="2" t="s">
        <v>40</v>
      </c>
      <c r="G132" s="3">
        <v>43420</v>
      </c>
      <c r="H132" s="4">
        <v>43426</v>
      </c>
      <c r="I132" s="30" t="s">
        <v>109</v>
      </c>
      <c r="J132" s="4" t="s">
        <v>110</v>
      </c>
      <c r="K132" s="5" t="s">
        <v>93</v>
      </c>
      <c r="L132" s="5" t="s">
        <v>111</v>
      </c>
      <c r="M132" s="5">
        <v>13</v>
      </c>
      <c r="N132" s="5">
        <v>36</v>
      </c>
      <c r="O132" s="5">
        <v>589</v>
      </c>
      <c r="P132" s="5">
        <v>0</v>
      </c>
      <c r="Q132" s="5">
        <v>7575640</v>
      </c>
      <c r="R132" s="5">
        <v>149593</v>
      </c>
      <c r="S132" s="27">
        <v>12861.867572156198</v>
      </c>
      <c r="T132" s="27">
        <v>253.97792869269949</v>
      </c>
      <c r="U132" s="7">
        <v>1.9746582466959886E-2</v>
      </c>
      <c r="V132" s="7">
        <v>8.8637707650126338E-2</v>
      </c>
      <c r="W132" s="8">
        <v>7.3009855951478395E-2</v>
      </c>
      <c r="X132" s="24">
        <v>0.83927217589082637</v>
      </c>
      <c r="Y132" s="24">
        <v>0.82509476876421528</v>
      </c>
      <c r="Z132" s="24">
        <v>0</v>
      </c>
      <c r="AA132" s="24">
        <v>0.17490523123578469</v>
      </c>
      <c r="AB132" s="24">
        <v>0.73420163954554762</v>
      </c>
      <c r="AC132" s="24"/>
      <c r="AD132" s="6" t="s">
        <v>36</v>
      </c>
      <c r="AE132" s="6" t="s">
        <v>37</v>
      </c>
      <c r="AF132" t="s">
        <v>112</v>
      </c>
      <c r="AG132" t="s">
        <v>113</v>
      </c>
      <c r="AH132" t="s">
        <v>48</v>
      </c>
    </row>
    <row r="133" spans="1:34" x14ac:dyDescent="0.25">
      <c r="A133" s="1" t="s">
        <v>612</v>
      </c>
      <c r="B133" s="29" t="str">
        <f>SUBSTITUTE(ListingTable[[#This Row],[Program]],".zip","_case.pptx")</f>
        <v>FSC19001_980160795_20190329_12_case.pptx</v>
      </c>
      <c r="C133" s="84" t="s">
        <v>852</v>
      </c>
      <c r="D133" s="78"/>
      <c r="E133" s="78"/>
      <c r="F133" s="2" t="s">
        <v>40</v>
      </c>
      <c r="G133" s="3">
        <v>43553</v>
      </c>
      <c r="H133" s="4">
        <v>43559</v>
      </c>
      <c r="I133" s="30">
        <v>980160795</v>
      </c>
      <c r="J133" s="4" t="s">
        <v>630</v>
      </c>
      <c r="K133" s="5" t="s">
        <v>635</v>
      </c>
      <c r="L133" s="5" t="s">
        <v>639</v>
      </c>
      <c r="M133" s="5">
        <v>1</v>
      </c>
      <c r="N133" s="5">
        <v>26</v>
      </c>
      <c r="O133" s="5">
        <v>589</v>
      </c>
      <c r="P133" s="5">
        <v>0</v>
      </c>
      <c r="Q133" s="5">
        <v>6855974</v>
      </c>
      <c r="R133" s="5">
        <v>1077871</v>
      </c>
      <c r="S133" s="27">
        <v>11640.023769100169</v>
      </c>
      <c r="T133" s="27">
        <v>1830.0016977928692</v>
      </c>
      <c r="U133" s="7">
        <v>0.157</v>
      </c>
      <c r="V133" s="7">
        <v>1.9E-2</v>
      </c>
      <c r="W133" s="8">
        <v>7.2999999999999995E-2</v>
      </c>
      <c r="X133" s="24">
        <v>0.30099999999999999</v>
      </c>
      <c r="Y133" s="24">
        <v>0.79</v>
      </c>
      <c r="Z133" s="24">
        <v>0.15</v>
      </c>
      <c r="AA133" s="24">
        <v>0.06</v>
      </c>
      <c r="AB133" s="24">
        <v>0.24</v>
      </c>
      <c r="AC133" s="24"/>
      <c r="AD133" s="6" t="s">
        <v>36</v>
      </c>
      <c r="AE133" s="6" t="s">
        <v>41</v>
      </c>
      <c r="AF133" t="s">
        <v>644</v>
      </c>
      <c r="AG133" t="str">
        <f>+_xlfn.CONCAT(ListingTable[[#This Row],[Program2]],ListingTable[[#This Row],[Start date]])</f>
        <v>FSC1900143553</v>
      </c>
      <c r="AH133" t="s">
        <v>42</v>
      </c>
    </row>
    <row r="134" spans="1:34" x14ac:dyDescent="0.25">
      <c r="A134" s="1" t="s">
        <v>474</v>
      </c>
      <c r="B134" s="1" t="str">
        <f>SUBSTITUTE(ListingTable[[#This Row],[Program]],".zip","_case.pptx")</f>
        <v>FSC18015_326282_20180330_12_case.pptx</v>
      </c>
      <c r="C134" s="83" t="s">
        <v>853</v>
      </c>
      <c r="D134" s="78"/>
      <c r="E134" s="78"/>
      <c r="F134" s="2" t="s">
        <v>40</v>
      </c>
      <c r="G134" s="3">
        <v>43189</v>
      </c>
      <c r="H134" s="4">
        <v>43195</v>
      </c>
      <c r="I134" s="30" t="s">
        <v>475</v>
      </c>
      <c r="J134" s="4" t="s">
        <v>476</v>
      </c>
      <c r="K134" s="5" t="s">
        <v>34</v>
      </c>
      <c r="L134" s="5" t="s">
        <v>189</v>
      </c>
      <c r="M134" s="5">
        <v>54</v>
      </c>
      <c r="N134" s="5">
        <v>1</v>
      </c>
      <c r="O134" s="5">
        <v>150</v>
      </c>
      <c r="P134" s="5">
        <v>355</v>
      </c>
      <c r="Q134" s="5">
        <v>1642840</v>
      </c>
      <c r="R134" s="5">
        <v>157995</v>
      </c>
      <c r="S134" s="27">
        <v>10952.266666666666</v>
      </c>
      <c r="T134" s="27">
        <v>1053.3</v>
      </c>
      <c r="U134" s="7">
        <v>9.617187309780624E-2</v>
      </c>
      <c r="V134" s="7">
        <v>1.7229130799311348E-2</v>
      </c>
      <c r="W134" s="8">
        <v>7.280832095096583E-2</v>
      </c>
      <c r="X134" s="24">
        <v>0.35438335809806837</v>
      </c>
      <c r="Y134" s="24">
        <v>0.66901931649331348</v>
      </c>
      <c r="Z134" s="24">
        <v>0.27711738484398218</v>
      </c>
      <c r="AA134" s="24">
        <v>5.3863298662704312E-2</v>
      </c>
      <c r="AB134" s="24">
        <v>2.1641542435780079</v>
      </c>
      <c r="AC134" s="24">
        <v>-4.9005812279958892E-2</v>
      </c>
      <c r="AD134" s="6" t="s">
        <v>57</v>
      </c>
      <c r="AE134" s="6" t="s">
        <v>41</v>
      </c>
      <c r="AF134" t="s">
        <v>472</v>
      </c>
      <c r="AG134" t="s">
        <v>473</v>
      </c>
      <c r="AH134" t="s">
        <v>34</v>
      </c>
    </row>
    <row r="135" spans="1:34" x14ac:dyDescent="0.25">
      <c r="A135" s="1" t="s">
        <v>461</v>
      </c>
      <c r="B135" s="1" t="str">
        <f>SUBSTITUTE(ListingTable[[#This Row],[Program]],".zip","_case.pptx")</f>
        <v>FSC18063_980009095_20190315_12_case.pptx</v>
      </c>
      <c r="C135" s="83" t="s">
        <v>854</v>
      </c>
      <c r="D135" s="78"/>
      <c r="E135" s="78"/>
      <c r="F135" s="2" t="s">
        <v>40</v>
      </c>
      <c r="G135" s="3">
        <v>43539</v>
      </c>
      <c r="H135" s="4">
        <v>43545</v>
      </c>
      <c r="I135" s="30" t="s">
        <v>446</v>
      </c>
      <c r="J135" s="4" t="s">
        <v>447</v>
      </c>
      <c r="K135" s="5" t="s">
        <v>34</v>
      </c>
      <c r="L135" s="5" t="s">
        <v>444</v>
      </c>
      <c r="M135" s="5">
        <v>54</v>
      </c>
      <c r="N135" s="5">
        <v>12</v>
      </c>
      <c r="O135" s="5">
        <v>24</v>
      </c>
      <c r="P135" s="5">
        <v>561</v>
      </c>
      <c r="Q135" s="5">
        <v>279047</v>
      </c>
      <c r="R135" s="5">
        <v>19843</v>
      </c>
      <c r="S135" s="27">
        <v>11626.958333333334</v>
      </c>
      <c r="T135" s="27">
        <v>826.79166666666663</v>
      </c>
      <c r="U135" s="7">
        <v>7.1109884714761318E-2</v>
      </c>
      <c r="V135" s="7">
        <v>2.1454842664487125E-3</v>
      </c>
      <c r="W135" s="8">
        <v>7.1428571428571425E-2</v>
      </c>
      <c r="X135" s="24">
        <v>0.2857142857142857</v>
      </c>
      <c r="Y135" s="24">
        <v>0.6428571428571429</v>
      </c>
      <c r="Z135" s="24">
        <v>9.5238095238095233E-2</v>
      </c>
      <c r="AA135" s="24">
        <v>0.26190476190476192</v>
      </c>
      <c r="AB135" s="24">
        <v>-0.37008084937816466</v>
      </c>
      <c r="AC135" s="24">
        <v>-0.24405024382520121</v>
      </c>
      <c r="AD135" s="6" t="s">
        <v>36</v>
      </c>
      <c r="AE135" s="6" t="s">
        <v>41</v>
      </c>
      <c r="AF135" t="s">
        <v>437</v>
      </c>
      <c r="AG135" t="s">
        <v>450</v>
      </c>
      <c r="AH135" t="s">
        <v>34</v>
      </c>
    </row>
    <row r="136" spans="1:34" ht="30" x14ac:dyDescent="0.25">
      <c r="A136" s="1" t="s">
        <v>603</v>
      </c>
      <c r="B136" s="29" t="str">
        <f>SUBSTITUTE(ListingTable[[#This Row],[Program]],".zip","_case.pptx")</f>
        <v>FSC18062_326282_20190405_12_case.pptx</v>
      </c>
      <c r="C136" s="84" t="s">
        <v>855</v>
      </c>
      <c r="D136" s="78" t="s">
        <v>694</v>
      </c>
      <c r="E136" s="78" t="s">
        <v>709</v>
      </c>
      <c r="F136" s="2" t="s">
        <v>40</v>
      </c>
      <c r="G136" s="3">
        <v>43560</v>
      </c>
      <c r="H136" s="4">
        <v>43566</v>
      </c>
      <c r="I136" s="30">
        <v>326282</v>
      </c>
      <c r="J136" s="4" t="s">
        <v>476</v>
      </c>
      <c r="K136" s="5" t="s">
        <v>34</v>
      </c>
      <c r="L136" s="5" t="s">
        <v>189</v>
      </c>
      <c r="M136" s="5">
        <v>54</v>
      </c>
      <c r="N136" s="5">
        <v>1</v>
      </c>
      <c r="O136" s="5">
        <v>150</v>
      </c>
      <c r="P136" s="5">
        <v>353</v>
      </c>
      <c r="Q136" s="5">
        <v>1689731</v>
      </c>
      <c r="R136" s="5">
        <v>140056</v>
      </c>
      <c r="S136" s="27">
        <v>11264.873333333333</v>
      </c>
      <c r="T136" s="27">
        <v>933.70666666666671</v>
      </c>
      <c r="U136" s="7">
        <v>8.3000000000000004E-2</v>
      </c>
      <c r="V136" s="7">
        <v>1.6E-2</v>
      </c>
      <c r="W136" s="8">
        <v>7.0999999999999994E-2</v>
      </c>
      <c r="X136" s="24">
        <v>0.35899999999999999</v>
      </c>
      <c r="Y136" s="24">
        <v>0.67</v>
      </c>
      <c r="Z136" s="24">
        <v>0.27</v>
      </c>
      <c r="AA136" s="24">
        <v>0.05</v>
      </c>
      <c r="AB136" s="24">
        <v>2.02</v>
      </c>
      <c r="AC136" s="24">
        <v>0.01</v>
      </c>
      <c r="AD136" s="6" t="s">
        <v>57</v>
      </c>
      <c r="AE136" s="6" t="s">
        <v>41</v>
      </c>
      <c r="AF136" t="s">
        <v>536</v>
      </c>
      <c r="AG136" t="str">
        <f>+_xlfn.CONCAT(ListingTable[[#This Row],[Program2]],ListingTable[[#This Row],[Start date]])</f>
        <v>FSC1806243560</v>
      </c>
      <c r="AH136" t="s">
        <v>34</v>
      </c>
    </row>
    <row r="137" spans="1:34" x14ac:dyDescent="0.25">
      <c r="A137" s="1" t="s">
        <v>621</v>
      </c>
      <c r="B137" s="29" t="str">
        <f>SUBSTITUTE(ListingTable[[#This Row],[Program]],".zip","_case.pptx")</f>
        <v>FSC19019_980158538_20190510_12_case.pptx</v>
      </c>
      <c r="C137" s="84" t="s">
        <v>856</v>
      </c>
      <c r="D137" s="78"/>
      <c r="E137" s="78"/>
      <c r="F137" s="2" t="s">
        <v>40</v>
      </c>
      <c r="G137" s="3">
        <v>43595</v>
      </c>
      <c r="H137" s="4">
        <v>43601</v>
      </c>
      <c r="I137" s="30">
        <v>980158538</v>
      </c>
      <c r="J137" s="4" t="s">
        <v>633</v>
      </c>
      <c r="K137" s="5" t="s">
        <v>77</v>
      </c>
      <c r="L137" s="5" t="s">
        <v>215</v>
      </c>
      <c r="M137" s="5">
        <v>2</v>
      </c>
      <c r="N137" s="5">
        <v>8</v>
      </c>
      <c r="O137" s="5">
        <v>384</v>
      </c>
      <c r="P137" s="5">
        <v>205</v>
      </c>
      <c r="Q137" s="5">
        <v>4798578</v>
      </c>
      <c r="R137" s="5">
        <v>207238</v>
      </c>
      <c r="S137" s="27">
        <v>12496.296875</v>
      </c>
      <c r="T137" s="27">
        <v>539.68229166666663</v>
      </c>
      <c r="U137" s="7">
        <v>4.2999999999999997E-2</v>
      </c>
      <c r="V137" s="7">
        <v>1.2999999999999999E-2</v>
      </c>
      <c r="W137" s="8">
        <v>7.0999999999999994E-2</v>
      </c>
      <c r="X137" s="24">
        <v>0.20899999999999999</v>
      </c>
      <c r="Y137" s="24">
        <v>0.51</v>
      </c>
      <c r="Z137" s="24">
        <v>0.34</v>
      </c>
      <c r="AA137" s="24">
        <v>0.15</v>
      </c>
      <c r="AB137" s="24">
        <v>0.05</v>
      </c>
      <c r="AC137" s="24">
        <v>0.02</v>
      </c>
      <c r="AD137" s="6" t="s">
        <v>36</v>
      </c>
      <c r="AE137" s="6" t="s">
        <v>641</v>
      </c>
      <c r="AF137" t="s">
        <v>648</v>
      </c>
      <c r="AG137" t="str">
        <f>+_xlfn.CONCAT(ListingTable[[#This Row],[Program2]],ListingTable[[#This Row],[Start date]])</f>
        <v>FSC1901943595</v>
      </c>
      <c r="AH137" t="s">
        <v>48</v>
      </c>
    </row>
    <row r="138" spans="1:34" x14ac:dyDescent="0.25">
      <c r="A138" s="1" t="s">
        <v>579</v>
      </c>
      <c r="B138" s="1" t="str">
        <f>SUBSTITUTE(ListingTable[[#This Row],[Program]],".zip","_case.pptx")</f>
        <v>FSC18015_326282_20180518_12_case.pptx</v>
      </c>
      <c r="C138" s="83" t="s">
        <v>857</v>
      </c>
      <c r="D138" s="78"/>
      <c r="E138" s="78"/>
      <c r="F138" s="2" t="s">
        <v>40</v>
      </c>
      <c r="G138" s="3">
        <v>43238</v>
      </c>
      <c r="H138" s="4">
        <v>43244</v>
      </c>
      <c r="I138" s="30" t="s">
        <v>475</v>
      </c>
      <c r="J138" s="4" t="s">
        <v>476</v>
      </c>
      <c r="K138" s="5" t="s">
        <v>34</v>
      </c>
      <c r="L138" s="5" t="s">
        <v>189</v>
      </c>
      <c r="M138" s="5">
        <v>54</v>
      </c>
      <c r="N138" s="5">
        <v>1</v>
      </c>
      <c r="O138" s="5">
        <v>150</v>
      </c>
      <c r="P138" s="5">
        <v>355</v>
      </c>
      <c r="Q138" s="5">
        <v>1950878</v>
      </c>
      <c r="R138" s="5">
        <v>169413</v>
      </c>
      <c r="S138" s="27">
        <v>13005.853333333333</v>
      </c>
      <c r="T138" s="27">
        <v>1129.42</v>
      </c>
      <c r="U138" s="7">
        <v>8.6839361559256908E-2</v>
      </c>
      <c r="V138" s="7">
        <v>1.4293899280232045E-2</v>
      </c>
      <c r="W138" s="8">
        <v>7.0146137787056362E-2</v>
      </c>
      <c r="X138" s="24">
        <v>0.39582463465553236</v>
      </c>
      <c r="Y138" s="24">
        <v>0.67849686847599167</v>
      </c>
      <c r="Z138" s="24">
        <v>0.27640918580375784</v>
      </c>
      <c r="AA138" s="24">
        <v>4.5093945720250522E-2</v>
      </c>
      <c r="AB138" s="24">
        <v>2.2687500662693116</v>
      </c>
      <c r="AC138" s="24">
        <v>-6.7792713042453018E-2</v>
      </c>
      <c r="AD138" s="6" t="s">
        <v>57</v>
      </c>
      <c r="AE138" s="6" t="s">
        <v>41</v>
      </c>
      <c r="AF138" t="s">
        <v>472</v>
      </c>
      <c r="AG138" t="s">
        <v>580</v>
      </c>
      <c r="AH138" t="s">
        <v>34</v>
      </c>
    </row>
    <row r="139" spans="1:34" x14ac:dyDescent="0.25">
      <c r="A139" s="1" t="s">
        <v>212</v>
      </c>
      <c r="B139" s="1" t="str">
        <f>SUBSTITUTE(ListingTable[[#This Row],[Program]],".zip","_case.pptx")</f>
        <v>FSC18036_292255_20180608_12_case.pptx</v>
      </c>
      <c r="C139" s="83" t="s">
        <v>858</v>
      </c>
      <c r="D139" s="78"/>
      <c r="E139" s="78"/>
      <c r="F139" s="2" t="s">
        <v>40</v>
      </c>
      <c r="G139" s="3">
        <v>43259</v>
      </c>
      <c r="H139" s="4">
        <v>43265</v>
      </c>
      <c r="I139" s="30" t="s">
        <v>213</v>
      </c>
      <c r="J139" s="4" t="s">
        <v>214</v>
      </c>
      <c r="K139" s="5" t="s">
        <v>77</v>
      </c>
      <c r="L139" s="5" t="s">
        <v>215</v>
      </c>
      <c r="M139" s="5">
        <v>2</v>
      </c>
      <c r="N139" s="5">
        <v>8</v>
      </c>
      <c r="O139" s="5">
        <v>589</v>
      </c>
      <c r="P139" s="5">
        <v>0</v>
      </c>
      <c r="Q139" s="5">
        <v>7079248</v>
      </c>
      <c r="R139" s="5">
        <v>214478</v>
      </c>
      <c r="S139" s="27">
        <v>12019.096774193549</v>
      </c>
      <c r="T139" s="27">
        <v>364.13921901528016</v>
      </c>
      <c r="U139" s="7">
        <v>3.0296720781642344E-2</v>
      </c>
      <c r="V139" s="7">
        <v>2.9099722926756087E-2</v>
      </c>
      <c r="W139" s="8">
        <v>6.8793297889479618E-2</v>
      </c>
      <c r="X139" s="24">
        <v>0.32092798453359112</v>
      </c>
      <c r="Y139" s="24">
        <v>0.49701949411954244</v>
      </c>
      <c r="Z139" s="24">
        <v>0.21701304978250363</v>
      </c>
      <c r="AA139" s="24">
        <v>0.28596745609795393</v>
      </c>
      <c r="AB139" s="24">
        <v>0.24205252984914274</v>
      </c>
      <c r="AC139" s="24"/>
      <c r="AD139" s="6" t="s">
        <v>147</v>
      </c>
      <c r="AE139" s="6" t="s">
        <v>37</v>
      </c>
      <c r="AF139" t="s">
        <v>210</v>
      </c>
      <c r="AG139" t="s">
        <v>211</v>
      </c>
      <c r="AH139" t="s">
        <v>48</v>
      </c>
    </row>
    <row r="140" spans="1:34" x14ac:dyDescent="0.25">
      <c r="A140" s="1" t="s">
        <v>369</v>
      </c>
      <c r="B140" s="1" t="str">
        <f>SUBSTITUTE(ListingTable[[#This Row],[Program]],".zip","_case.pptx")</f>
        <v>FSC18041_105782_20180615_12_case.pptx</v>
      </c>
      <c r="C140" s="83" t="s">
        <v>859</v>
      </c>
      <c r="D140" s="78"/>
      <c r="E140" s="78"/>
      <c r="F140" s="2" t="s">
        <v>40</v>
      </c>
      <c r="G140" s="3">
        <v>43266</v>
      </c>
      <c r="H140" s="4">
        <v>43272</v>
      </c>
      <c r="I140" s="30" t="s">
        <v>370</v>
      </c>
      <c r="J140" s="4" t="s">
        <v>371</v>
      </c>
      <c r="K140" s="5" t="s">
        <v>34</v>
      </c>
      <c r="L140" s="5" t="s">
        <v>189</v>
      </c>
      <c r="M140" s="5">
        <v>54</v>
      </c>
      <c r="N140" s="5">
        <v>1</v>
      </c>
      <c r="O140" s="5">
        <v>167</v>
      </c>
      <c r="P140" s="5">
        <v>422</v>
      </c>
      <c r="Q140" s="5">
        <v>1847296</v>
      </c>
      <c r="R140" s="5">
        <v>115490</v>
      </c>
      <c r="S140" s="27">
        <v>11061.652694610779</v>
      </c>
      <c r="T140" s="27">
        <v>691.55688622754496</v>
      </c>
      <c r="U140" s="7">
        <v>6.2518405279933478E-2</v>
      </c>
      <c r="V140" s="7">
        <v>8.1017097764138537E-3</v>
      </c>
      <c r="W140" s="8">
        <v>6.8181818181818177E-2</v>
      </c>
      <c r="X140" s="24">
        <v>0.36255411255411257</v>
      </c>
      <c r="Y140" s="24">
        <v>0.35822510822510822</v>
      </c>
      <c r="Z140" s="24">
        <v>0.37121212121212122</v>
      </c>
      <c r="AA140" s="24">
        <v>0.27056277056277056</v>
      </c>
      <c r="AB140" s="24">
        <v>7.1335852929410137E-2</v>
      </c>
      <c r="AC140" s="24">
        <v>-0.20895830226504436</v>
      </c>
      <c r="AD140" s="6" t="s">
        <v>57</v>
      </c>
      <c r="AE140" s="6" t="s">
        <v>372</v>
      </c>
      <c r="AF140" t="s">
        <v>373</v>
      </c>
      <c r="AG140" t="s">
        <v>374</v>
      </c>
      <c r="AH140" t="s">
        <v>34</v>
      </c>
    </row>
    <row r="141" spans="1:34" x14ac:dyDescent="0.25">
      <c r="A141" s="1" t="s">
        <v>382</v>
      </c>
      <c r="B141" s="1" t="str">
        <f>SUBSTITUTE(ListingTable[[#This Row],[Program]],".zip","_case.pptx")</f>
        <v>FSC18019_105119_20180406_12_case.pptx</v>
      </c>
      <c r="C141" s="83" t="s">
        <v>860</v>
      </c>
      <c r="D141" s="78"/>
      <c r="E141" s="78"/>
      <c r="F141" s="2" t="s">
        <v>40</v>
      </c>
      <c r="G141" s="3">
        <v>43196</v>
      </c>
      <c r="H141" s="4">
        <v>43202</v>
      </c>
      <c r="I141" s="30" t="s">
        <v>383</v>
      </c>
      <c r="J141" s="4" t="s">
        <v>384</v>
      </c>
      <c r="K141" s="5" t="s">
        <v>277</v>
      </c>
      <c r="L141" s="5" t="s">
        <v>385</v>
      </c>
      <c r="M141" s="5">
        <v>78</v>
      </c>
      <c r="N141" s="5">
        <v>13</v>
      </c>
      <c r="O141" s="5">
        <v>221</v>
      </c>
      <c r="P141" s="5">
        <v>340</v>
      </c>
      <c r="Q141" s="5">
        <v>2631305</v>
      </c>
      <c r="R141" s="5">
        <v>312180</v>
      </c>
      <c r="S141" s="27">
        <v>11906.357466063348</v>
      </c>
      <c r="T141" s="27">
        <v>1412.579185520362</v>
      </c>
      <c r="U141" s="7">
        <v>0.11864075050212727</v>
      </c>
      <c r="V141" s="7">
        <v>2.1326008726043059E-2</v>
      </c>
      <c r="W141" s="8">
        <v>6.8043742405832316E-2</v>
      </c>
      <c r="X141" s="24">
        <v>0.68226002430133659</v>
      </c>
      <c r="Y141" s="24">
        <v>0.74848116646415552</v>
      </c>
      <c r="Z141" s="24">
        <v>0.15507290400972054</v>
      </c>
      <c r="AA141" s="24">
        <v>9.6445929526123936E-2</v>
      </c>
      <c r="AB141" s="24">
        <v>1.7754181899237544</v>
      </c>
      <c r="AC141" s="24">
        <v>9.5199201508262291E-2</v>
      </c>
      <c r="AD141" s="6" t="s">
        <v>57</v>
      </c>
      <c r="AE141" s="6" t="s">
        <v>41</v>
      </c>
      <c r="AF141" t="s">
        <v>386</v>
      </c>
      <c r="AG141" t="s">
        <v>387</v>
      </c>
      <c r="AH141" t="s">
        <v>42</v>
      </c>
    </row>
    <row r="142" spans="1:34" x14ac:dyDescent="0.25">
      <c r="A142" s="1" t="s">
        <v>544</v>
      </c>
      <c r="B142" s="1" t="str">
        <f>SUBSTITUTE(ListingTable[[#This Row],[Program]],".zip","_case.pptx")</f>
        <v>FSC18115_326282_20190201_12_case.pptx</v>
      </c>
      <c r="C142" s="83" t="s">
        <v>861</v>
      </c>
      <c r="D142" s="78"/>
      <c r="E142" s="78"/>
      <c r="F142" s="2" t="s">
        <v>40</v>
      </c>
      <c r="G142" s="3">
        <v>43497</v>
      </c>
      <c r="H142" s="4">
        <v>43503</v>
      </c>
      <c r="I142" s="30" t="s">
        <v>475</v>
      </c>
      <c r="J142" s="4" t="s">
        <v>476</v>
      </c>
      <c r="K142" s="5" t="s">
        <v>34</v>
      </c>
      <c r="L142" s="5" t="s">
        <v>189</v>
      </c>
      <c r="M142" s="5">
        <v>54</v>
      </c>
      <c r="N142" s="5">
        <v>1</v>
      </c>
      <c r="O142" s="5">
        <v>200</v>
      </c>
      <c r="P142" s="5">
        <v>306</v>
      </c>
      <c r="Q142" s="5">
        <v>2334535</v>
      </c>
      <c r="R142" s="5">
        <v>197317</v>
      </c>
      <c r="S142" s="27">
        <v>11672.674999999999</v>
      </c>
      <c r="T142" s="27">
        <v>986.58500000000004</v>
      </c>
      <c r="U142" s="7">
        <v>8.4520900307770069E-2</v>
      </c>
      <c r="V142" s="7">
        <v>1.4736939227425572E-2</v>
      </c>
      <c r="W142" s="8">
        <v>6.7826086956521744E-2</v>
      </c>
      <c r="X142" s="24">
        <v>0.3422608695652174</v>
      </c>
      <c r="Y142" s="24">
        <v>0.67860869565217397</v>
      </c>
      <c r="Z142" s="24">
        <v>0.2737391304347826</v>
      </c>
      <c r="AA142" s="24">
        <v>4.765217391304348E-2</v>
      </c>
      <c r="AB142" s="24">
        <v>2.5832258098800032</v>
      </c>
      <c r="AC142" s="24">
        <v>8.0552078326802751E-2</v>
      </c>
      <c r="AD142" s="6" t="s">
        <v>57</v>
      </c>
      <c r="AE142" s="6" t="s">
        <v>41</v>
      </c>
      <c r="AF142" t="s">
        <v>545</v>
      </c>
      <c r="AG142" t="s">
        <v>546</v>
      </c>
      <c r="AH142" t="s">
        <v>34</v>
      </c>
    </row>
    <row r="143" spans="1:34" x14ac:dyDescent="0.25">
      <c r="A143" s="1" t="s">
        <v>49</v>
      </c>
      <c r="B143" s="1" t="str">
        <f>SUBSTITUTE(ListingTable[[#This Row],[Program]],".zip","_case.pptx")</f>
        <v>FSC18043_281210_20180601_12_case.pptx</v>
      </c>
      <c r="C143" s="83" t="s">
        <v>862</v>
      </c>
      <c r="D143" s="78"/>
      <c r="E143" s="78"/>
      <c r="F143" s="2" t="s">
        <v>40</v>
      </c>
      <c r="G143" s="3">
        <v>43252</v>
      </c>
      <c r="H143" s="4">
        <v>43258</v>
      </c>
      <c r="I143" s="30" t="s">
        <v>32</v>
      </c>
      <c r="J143" s="4" t="s">
        <v>33</v>
      </c>
      <c r="K143" s="5" t="s">
        <v>34</v>
      </c>
      <c r="L143" s="5" t="s">
        <v>35</v>
      </c>
      <c r="M143" s="5">
        <v>54</v>
      </c>
      <c r="N143" s="5">
        <v>15</v>
      </c>
      <c r="O143" s="5">
        <v>149</v>
      </c>
      <c r="P143" s="5">
        <v>412</v>
      </c>
      <c r="Q143" s="5">
        <v>1677623</v>
      </c>
      <c r="R143" s="5">
        <v>24934</v>
      </c>
      <c r="S143" s="27">
        <v>11259.214765100671</v>
      </c>
      <c r="T143" s="27">
        <v>167.34228187919464</v>
      </c>
      <c r="U143" s="7">
        <v>1.4862695611588539E-2</v>
      </c>
      <c r="V143" s="7">
        <v>5.0954390194896525E-2</v>
      </c>
      <c r="W143" s="8">
        <v>6.7823343848580436E-2</v>
      </c>
      <c r="X143" s="24">
        <v>0.88958990536277605</v>
      </c>
      <c r="Y143" s="24">
        <v>0.69637223974763407</v>
      </c>
      <c r="Z143" s="24">
        <v>0.11987381703470032</v>
      </c>
      <c r="AA143" s="24">
        <v>0.18375394321766561</v>
      </c>
      <c r="AB143" s="24">
        <v>1.481478736202275</v>
      </c>
      <c r="AC143" s="24">
        <v>3.8542104992803812E-2</v>
      </c>
      <c r="AD143" s="6" t="s">
        <v>36</v>
      </c>
      <c r="AE143" s="6" t="s">
        <v>37</v>
      </c>
      <c r="AF143" t="s">
        <v>50</v>
      </c>
      <c r="AG143" t="s">
        <v>51</v>
      </c>
      <c r="AH143" t="s">
        <v>34</v>
      </c>
    </row>
    <row r="144" spans="1:34" x14ac:dyDescent="0.25">
      <c r="A144" s="1" t="s">
        <v>43</v>
      </c>
      <c r="B144" s="1" t="str">
        <f>SUBSTITUTE(ListingTable[[#This Row],[Program]],".zip","_case.pptx")</f>
        <v>FSC18113_567934_20181207_12_case.pptx</v>
      </c>
      <c r="C144" s="83" t="s">
        <v>863</v>
      </c>
      <c r="D144" s="78"/>
      <c r="E144" s="78"/>
      <c r="F144" s="2" t="s">
        <v>40</v>
      </c>
      <c r="G144" s="3">
        <v>43441</v>
      </c>
      <c r="H144" s="4">
        <v>43447</v>
      </c>
      <c r="I144" s="30" t="s">
        <v>44</v>
      </c>
      <c r="J144" s="4" t="s">
        <v>45</v>
      </c>
      <c r="K144" s="5" t="s">
        <v>46</v>
      </c>
      <c r="L144" s="5" t="s">
        <v>47</v>
      </c>
      <c r="M144" s="5">
        <v>94</v>
      </c>
      <c r="N144" s="5">
        <v>25</v>
      </c>
      <c r="O144" s="5">
        <v>41</v>
      </c>
      <c r="P144" s="5">
        <v>548</v>
      </c>
      <c r="Q144" s="5">
        <v>474594</v>
      </c>
      <c r="R144" s="5">
        <v>6486</v>
      </c>
      <c r="S144" s="27">
        <v>11575.463414634147</v>
      </c>
      <c r="T144" s="27">
        <v>158.19512195121951</v>
      </c>
      <c r="U144" s="7">
        <v>1.3666418033097764E-2</v>
      </c>
      <c r="V144" s="7">
        <v>1.6061776061776063E-2</v>
      </c>
      <c r="W144" s="8">
        <v>6.7307692307692304E-2</v>
      </c>
      <c r="X144" s="24">
        <v>0.25</v>
      </c>
      <c r="Y144" s="24">
        <v>0.52884615384615385</v>
      </c>
      <c r="Z144" s="24">
        <v>0.125</v>
      </c>
      <c r="AA144" s="24">
        <v>0.34615384615384615</v>
      </c>
      <c r="AB144" s="24">
        <v>0.34610421822365173</v>
      </c>
      <c r="AC144" s="24">
        <v>0.32497974700950238</v>
      </c>
      <c r="AD144" s="6" t="s">
        <v>36</v>
      </c>
      <c r="AE144" s="6" t="s">
        <v>37</v>
      </c>
      <c r="AF144" t="s">
        <v>38</v>
      </c>
      <c r="AG144" t="s">
        <v>39</v>
      </c>
      <c r="AH144" t="s">
        <v>48</v>
      </c>
    </row>
    <row r="145" spans="1:34" x14ac:dyDescent="0.25">
      <c r="A145" s="1" t="s">
        <v>574</v>
      </c>
      <c r="B145" s="1" t="str">
        <f>SUBSTITUTE(ListingTable[[#This Row],[Program]],".zip","_case.pptx")</f>
        <v>FSC18062_326282_20181005_12_case.pptx</v>
      </c>
      <c r="C145" s="83" t="s">
        <v>864</v>
      </c>
      <c r="D145" s="78"/>
      <c r="E145" s="78"/>
      <c r="F145" s="2" t="s">
        <v>40</v>
      </c>
      <c r="G145" s="3">
        <v>43378</v>
      </c>
      <c r="H145" s="4">
        <v>43384</v>
      </c>
      <c r="I145" s="30" t="s">
        <v>475</v>
      </c>
      <c r="J145" s="4" t="s">
        <v>476</v>
      </c>
      <c r="K145" s="5" t="s">
        <v>34</v>
      </c>
      <c r="L145" s="5" t="s">
        <v>189</v>
      </c>
      <c r="M145" s="5">
        <v>54</v>
      </c>
      <c r="N145" s="5">
        <v>1</v>
      </c>
      <c r="O145" s="5">
        <v>150</v>
      </c>
      <c r="P145" s="5">
        <v>369</v>
      </c>
      <c r="Q145" s="5">
        <v>1823268</v>
      </c>
      <c r="R145" s="5">
        <v>165094</v>
      </c>
      <c r="S145" s="27">
        <v>12155.12</v>
      </c>
      <c r="T145" s="27">
        <v>1100.6266666666668</v>
      </c>
      <c r="U145" s="7">
        <v>9.0548399906102667E-2</v>
      </c>
      <c r="V145" s="7">
        <v>1.5361058369571875E-2</v>
      </c>
      <c r="W145" s="8">
        <v>6.5789473684210523E-2</v>
      </c>
      <c r="X145" s="24">
        <v>0.37001594896331741</v>
      </c>
      <c r="Y145" s="24">
        <v>0.6925837320574163</v>
      </c>
      <c r="Z145" s="24">
        <v>0.25199362041467305</v>
      </c>
      <c r="AA145" s="24">
        <v>5.5422647527910686E-2</v>
      </c>
      <c r="AB145" s="24">
        <v>2.1271380102842761</v>
      </c>
      <c r="AC145" s="24">
        <v>7.2152208215151212E-2</v>
      </c>
      <c r="AD145" s="6" t="s">
        <v>57</v>
      </c>
      <c r="AE145" s="6" t="s">
        <v>41</v>
      </c>
      <c r="AF145" t="s">
        <v>536</v>
      </c>
      <c r="AG145" t="s">
        <v>569</v>
      </c>
      <c r="AH145" t="s">
        <v>34</v>
      </c>
    </row>
    <row r="146" spans="1:34" x14ac:dyDescent="0.25">
      <c r="A146" s="1" t="s">
        <v>81</v>
      </c>
      <c r="B146" s="1" t="str">
        <f>SUBSTITUTE(ListingTable[[#This Row],[Program]],".zip","_case.pptx")</f>
        <v>FSC18038_980116456_20180601_12_case.pptx</v>
      </c>
      <c r="C146" s="83" t="s">
        <v>865</v>
      </c>
      <c r="D146" s="78"/>
      <c r="E146" s="78"/>
      <c r="F146" s="2" t="s">
        <v>40</v>
      </c>
      <c r="G146" s="3">
        <v>43252</v>
      </c>
      <c r="H146" s="4">
        <v>43258</v>
      </c>
      <c r="I146" s="30" t="s">
        <v>82</v>
      </c>
      <c r="J146" s="4" t="s">
        <v>83</v>
      </c>
      <c r="K146" s="5" t="s">
        <v>84</v>
      </c>
      <c r="L146" s="5" t="s">
        <v>85</v>
      </c>
      <c r="M146" s="5">
        <v>1</v>
      </c>
      <c r="N146" s="5">
        <v>31</v>
      </c>
      <c r="O146" s="5">
        <v>350</v>
      </c>
      <c r="P146" s="5">
        <v>214</v>
      </c>
      <c r="Q146" s="5">
        <v>4253710</v>
      </c>
      <c r="R146" s="5">
        <v>706375</v>
      </c>
      <c r="S146" s="27">
        <v>12153.457142857143</v>
      </c>
      <c r="T146" s="27">
        <v>2018.2142857142858</v>
      </c>
      <c r="U146" s="7">
        <v>0.16606092093725242</v>
      </c>
      <c r="V146" s="7">
        <v>3.5488891058292516E-3</v>
      </c>
      <c r="W146" s="8">
        <v>6.553398058252427E-2</v>
      </c>
      <c r="X146" s="24">
        <v>0.65574433656957931</v>
      </c>
      <c r="Y146" s="24">
        <v>0.55542071197411003</v>
      </c>
      <c r="Z146" s="24">
        <v>0.42273462783171523</v>
      </c>
      <c r="AA146" s="24">
        <v>2.1844660194174758E-2</v>
      </c>
      <c r="AB146" s="24">
        <v>3.9112836410247365</v>
      </c>
      <c r="AC146" s="24">
        <v>1.6515606872500759</v>
      </c>
      <c r="AD146" s="6" t="s">
        <v>36</v>
      </c>
      <c r="AE146" s="6" t="s">
        <v>41</v>
      </c>
      <c r="AF146" t="s">
        <v>86</v>
      </c>
      <c r="AG146" t="s">
        <v>87</v>
      </c>
      <c r="AH146" t="s">
        <v>42</v>
      </c>
    </row>
    <row r="147" spans="1:34" x14ac:dyDescent="0.25">
      <c r="A147" s="1" t="s">
        <v>202</v>
      </c>
      <c r="B147" s="1" t="str">
        <f>SUBSTITUTE(ListingTable[[#This Row],[Program]],".zip","_case.pptx")</f>
        <v>FSC18027_271174_20180413_12_case.pptx</v>
      </c>
      <c r="C147" s="83" t="s">
        <v>866</v>
      </c>
      <c r="D147" s="78"/>
      <c r="E147" s="78"/>
      <c r="F147" s="2" t="s">
        <v>40</v>
      </c>
      <c r="G147" s="3">
        <v>43203</v>
      </c>
      <c r="H147" s="4">
        <v>43209</v>
      </c>
      <c r="I147" s="30" t="s">
        <v>203</v>
      </c>
      <c r="J147" s="4" t="s">
        <v>204</v>
      </c>
      <c r="K147" s="5" t="s">
        <v>77</v>
      </c>
      <c r="L147" s="5" t="s">
        <v>169</v>
      </c>
      <c r="M147" s="5">
        <v>2</v>
      </c>
      <c r="N147" s="5">
        <v>13</v>
      </c>
      <c r="O147" s="5">
        <v>254</v>
      </c>
      <c r="P147" s="5">
        <v>335</v>
      </c>
      <c r="Q147" s="5">
        <v>2873937</v>
      </c>
      <c r="R147" s="5">
        <v>81998</v>
      </c>
      <c r="S147" s="27">
        <v>11314.712598425196</v>
      </c>
      <c r="T147" s="27">
        <v>322.82677165354329</v>
      </c>
      <c r="U147" s="7">
        <v>2.8531592724544762E-2</v>
      </c>
      <c r="V147" s="7">
        <v>0.10375259748197042</v>
      </c>
      <c r="W147" s="8">
        <v>6.5150801131008476E-2</v>
      </c>
      <c r="X147" s="24">
        <v>0.85379359095193219</v>
      </c>
      <c r="Y147" s="24">
        <v>0.68614514608859567</v>
      </c>
      <c r="Z147" s="24">
        <v>9.7902921771913287E-2</v>
      </c>
      <c r="AA147" s="24">
        <v>0.21595193213949104</v>
      </c>
      <c r="AB147" s="24">
        <v>0.9506066460265874</v>
      </c>
      <c r="AC147" s="24">
        <v>-4.007780230537783E-2</v>
      </c>
      <c r="AD147" s="6" t="s">
        <v>36</v>
      </c>
      <c r="AE147" s="6" t="s">
        <v>37</v>
      </c>
      <c r="AF147" t="s">
        <v>205</v>
      </c>
      <c r="AG147" t="s">
        <v>206</v>
      </c>
      <c r="AH147" t="s">
        <v>48</v>
      </c>
    </row>
    <row r="148" spans="1:34" x14ac:dyDescent="0.25">
      <c r="A148" s="1" t="s">
        <v>351</v>
      </c>
      <c r="B148" s="1" t="str">
        <f>SUBSTITUTE(ListingTable[[#This Row],[Program]],".zip","_case.pptx")</f>
        <v>FSC17141_980068089_20180518_12_case.pptx</v>
      </c>
      <c r="C148" s="83" t="s">
        <v>867</v>
      </c>
      <c r="D148" s="78"/>
      <c r="E148" s="78"/>
      <c r="F148" s="2" t="s">
        <v>40</v>
      </c>
      <c r="G148" s="3">
        <v>43238</v>
      </c>
      <c r="H148" s="4">
        <v>43244</v>
      </c>
      <c r="I148" s="30" t="s">
        <v>352</v>
      </c>
      <c r="J148" s="4" t="s">
        <v>353</v>
      </c>
      <c r="K148" s="5" t="s">
        <v>77</v>
      </c>
      <c r="L148" s="5" t="s">
        <v>324</v>
      </c>
      <c r="M148" s="5">
        <v>2</v>
      </c>
      <c r="N148" s="5">
        <v>5</v>
      </c>
      <c r="O148" s="5">
        <v>57</v>
      </c>
      <c r="P148" s="5">
        <v>531</v>
      </c>
      <c r="Q148" s="5">
        <v>761082</v>
      </c>
      <c r="R148" s="5">
        <v>91802</v>
      </c>
      <c r="S148" s="27">
        <v>13352.315789473685</v>
      </c>
      <c r="T148" s="27">
        <v>1610.5614035087719</v>
      </c>
      <c r="U148" s="7">
        <v>0.12062037993277991</v>
      </c>
      <c r="V148" s="7">
        <v>1.326213120903855E-2</v>
      </c>
      <c r="W148" s="8">
        <v>6.4891846921797003E-2</v>
      </c>
      <c r="X148" s="24">
        <v>0.63643926788685523</v>
      </c>
      <c r="Y148" s="24">
        <v>0.4750415973377704</v>
      </c>
      <c r="Z148" s="24">
        <v>0.36106489184692181</v>
      </c>
      <c r="AA148" s="24">
        <v>0.16389351081530781</v>
      </c>
      <c r="AB148" s="24">
        <v>0.77109522618614423</v>
      </c>
      <c r="AC148" s="24">
        <v>0.42248404463490863</v>
      </c>
      <c r="AD148" s="6" t="s">
        <v>36</v>
      </c>
      <c r="AE148" s="6" t="s">
        <v>41</v>
      </c>
      <c r="AF148" t="s">
        <v>354</v>
      </c>
      <c r="AG148" t="s">
        <v>355</v>
      </c>
      <c r="AH148" t="s">
        <v>48</v>
      </c>
    </row>
    <row r="149" spans="1:34" x14ac:dyDescent="0.25">
      <c r="A149" s="1" t="s">
        <v>445</v>
      </c>
      <c r="B149" s="1" t="str">
        <f>SUBSTITUTE(ListingTable[[#This Row],[Program]],".zip","_case.pptx")</f>
        <v>FSC18063_980009095_20190308_12_case.pptx</v>
      </c>
      <c r="C149" s="83" t="s">
        <v>868</v>
      </c>
      <c r="D149" s="78"/>
      <c r="E149" s="78"/>
      <c r="F149" s="2" t="s">
        <v>40</v>
      </c>
      <c r="G149" s="3">
        <v>43532</v>
      </c>
      <c r="H149" s="4">
        <v>43538</v>
      </c>
      <c r="I149" s="30" t="s">
        <v>446</v>
      </c>
      <c r="J149" s="4" t="s">
        <v>447</v>
      </c>
      <c r="K149" s="5" t="s">
        <v>34</v>
      </c>
      <c r="L149" s="5" t="s">
        <v>444</v>
      </c>
      <c r="M149" s="5">
        <v>54</v>
      </c>
      <c r="N149" s="5">
        <v>12</v>
      </c>
      <c r="O149" s="5">
        <v>140</v>
      </c>
      <c r="P149" s="5">
        <v>446</v>
      </c>
      <c r="Q149" s="5">
        <v>1642237</v>
      </c>
      <c r="R149" s="5">
        <v>114950</v>
      </c>
      <c r="S149" s="27">
        <v>11730.264285714286</v>
      </c>
      <c r="T149" s="27">
        <v>821.07142857142856</v>
      </c>
      <c r="U149" s="7">
        <v>6.9995987180900193E-2</v>
      </c>
      <c r="V149" s="7">
        <v>2.4667780695472267E-3</v>
      </c>
      <c r="W149" s="8">
        <v>6.4516129032258063E-2</v>
      </c>
      <c r="X149" s="24">
        <v>0.26164874551971329</v>
      </c>
      <c r="Y149" s="24">
        <v>0.6630824372759857</v>
      </c>
      <c r="Z149" s="24">
        <v>9.3189964157706098E-2</v>
      </c>
      <c r="AA149" s="24">
        <v>0.24372759856630824</v>
      </c>
      <c r="AB149" s="24">
        <v>-0.39146369426039179</v>
      </c>
      <c r="AC149" s="24">
        <v>-0.39038930059174737</v>
      </c>
      <c r="AD149" s="6" t="s">
        <v>36</v>
      </c>
      <c r="AE149" s="6" t="s">
        <v>41</v>
      </c>
      <c r="AF149" t="s">
        <v>437</v>
      </c>
      <c r="AG149" t="s">
        <v>438</v>
      </c>
      <c r="AH149" t="s">
        <v>34</v>
      </c>
    </row>
    <row r="150" spans="1:34" x14ac:dyDescent="0.25">
      <c r="A150" s="1" t="s">
        <v>619</v>
      </c>
      <c r="B150" s="29" t="str">
        <f>SUBSTITUTE(ListingTable[[#This Row],[Program]],".zip","_case.pptx")</f>
        <v>FSC19019_980075462_20190510_12_case.pptx</v>
      </c>
      <c r="C150" s="84" t="s">
        <v>869</v>
      </c>
      <c r="D150" s="78"/>
      <c r="E150" s="78"/>
      <c r="F150" s="2" t="s">
        <v>40</v>
      </c>
      <c r="G150" s="3">
        <v>43595</v>
      </c>
      <c r="H150" s="4">
        <v>43601</v>
      </c>
      <c r="I150" s="30">
        <v>980075462</v>
      </c>
      <c r="J150" s="4" t="s">
        <v>225</v>
      </c>
      <c r="K150" s="5" t="s">
        <v>77</v>
      </c>
      <c r="L150" s="5" t="s">
        <v>215</v>
      </c>
      <c r="M150" s="5">
        <v>2</v>
      </c>
      <c r="N150" s="5">
        <v>8</v>
      </c>
      <c r="O150" s="5">
        <v>384</v>
      </c>
      <c r="P150" s="5">
        <v>200</v>
      </c>
      <c r="Q150" s="5">
        <v>4798578</v>
      </c>
      <c r="R150" s="5">
        <v>207238</v>
      </c>
      <c r="S150" s="27">
        <v>12496.296875</v>
      </c>
      <c r="T150" s="27">
        <v>539.68229166666663</v>
      </c>
      <c r="U150" s="7">
        <v>4.2999999999999997E-2</v>
      </c>
      <c r="V150" s="7">
        <v>8.0000000000000002E-3</v>
      </c>
      <c r="W150" s="8">
        <v>6.4000000000000001E-2</v>
      </c>
      <c r="X150" s="24">
        <v>0.24</v>
      </c>
      <c r="Y150" s="24">
        <v>0.5</v>
      </c>
      <c r="Z150" s="24">
        <v>0.19</v>
      </c>
      <c r="AA150" s="24">
        <v>0.31</v>
      </c>
      <c r="AB150" s="24">
        <v>0.06</v>
      </c>
      <c r="AC150" s="24">
        <v>0</v>
      </c>
      <c r="AD150" s="6" t="s">
        <v>36</v>
      </c>
      <c r="AE150" s="6" t="s">
        <v>641</v>
      </c>
      <c r="AF150" t="s">
        <v>648</v>
      </c>
      <c r="AG150" t="str">
        <f>+_xlfn.CONCAT(ListingTable[[#This Row],[Program2]],ListingTable[[#This Row],[Start date]])</f>
        <v>FSC1901943595</v>
      </c>
      <c r="AH150" t="s">
        <v>48</v>
      </c>
    </row>
    <row r="151" spans="1:34" x14ac:dyDescent="0.25">
      <c r="A151" s="1" t="s">
        <v>359</v>
      </c>
      <c r="B151" s="1" t="str">
        <f>SUBSTITUTE(ListingTable[[#This Row],[Program]],".zip","_case.pptx")</f>
        <v>FSC18091_980000614_20181123_12_case.pptx</v>
      </c>
      <c r="C151" s="83" t="s">
        <v>870</v>
      </c>
      <c r="D151" s="78"/>
      <c r="E151" s="78"/>
      <c r="F151" s="2" t="s">
        <v>40</v>
      </c>
      <c r="G151" s="3">
        <v>43427</v>
      </c>
      <c r="H151" s="4">
        <v>43433</v>
      </c>
      <c r="I151" s="30" t="s">
        <v>360</v>
      </c>
      <c r="J151" s="4" t="s">
        <v>361</v>
      </c>
      <c r="K151" s="5" t="s">
        <v>362</v>
      </c>
      <c r="L151" s="5" t="s">
        <v>363</v>
      </c>
      <c r="M151" s="5">
        <v>4</v>
      </c>
      <c r="N151" s="5">
        <v>90</v>
      </c>
      <c r="O151" s="5">
        <v>62</v>
      </c>
      <c r="P151" s="5">
        <v>526</v>
      </c>
      <c r="Q151" s="5">
        <v>631383</v>
      </c>
      <c r="R151" s="5">
        <v>75883</v>
      </c>
      <c r="S151" s="27">
        <v>10183.596774193549</v>
      </c>
      <c r="T151" s="27">
        <v>1223.9193548387098</v>
      </c>
      <c r="U151" s="7">
        <v>0.12018537084463789</v>
      </c>
      <c r="V151" s="7">
        <v>2.2934368100622198E-2</v>
      </c>
      <c r="W151" s="8">
        <v>6.3593932322053681E-2</v>
      </c>
      <c r="X151" s="24">
        <v>0.17036172695449242</v>
      </c>
      <c r="Y151" s="24">
        <v>0.49941656942823803</v>
      </c>
      <c r="Z151" s="24">
        <v>0.36231038506417734</v>
      </c>
      <c r="AA151" s="24">
        <v>0.1382730455075846</v>
      </c>
      <c r="AB151" s="24">
        <v>-8.4065680462629411E-2</v>
      </c>
      <c r="AC151" s="24">
        <v>-0.15691652156076971</v>
      </c>
      <c r="AD151" s="6" t="s">
        <v>147</v>
      </c>
      <c r="AE151" s="6" t="s">
        <v>71</v>
      </c>
      <c r="AF151" t="s">
        <v>364</v>
      </c>
      <c r="AG151" t="s">
        <v>365</v>
      </c>
      <c r="AH151" t="s">
        <v>48</v>
      </c>
    </row>
    <row r="152" spans="1:34" x14ac:dyDescent="0.25">
      <c r="A152" s="1" t="s">
        <v>330</v>
      </c>
      <c r="B152" s="1" t="str">
        <f>SUBSTITUTE(ListingTable[[#This Row],[Program]],".zip","_case.pptx")</f>
        <v>FSC18099_980095235_20181123_12_case.pptx</v>
      </c>
      <c r="C152" s="83" t="s">
        <v>871</v>
      </c>
      <c r="D152" s="78"/>
      <c r="E152" s="78"/>
      <c r="F152" s="2" t="s">
        <v>40</v>
      </c>
      <c r="G152" s="3">
        <v>43427</v>
      </c>
      <c r="H152" s="4">
        <v>43433</v>
      </c>
      <c r="I152" s="30" t="s">
        <v>331</v>
      </c>
      <c r="J152" s="4" t="s">
        <v>332</v>
      </c>
      <c r="K152" s="5" t="s">
        <v>77</v>
      </c>
      <c r="L152" s="5" t="s">
        <v>324</v>
      </c>
      <c r="M152" s="5">
        <v>2</v>
      </c>
      <c r="N152" s="5">
        <v>5</v>
      </c>
      <c r="O152" s="5">
        <v>100</v>
      </c>
      <c r="P152" s="5">
        <v>473</v>
      </c>
      <c r="Q152" s="5">
        <v>943395</v>
      </c>
      <c r="R152" s="5">
        <v>115206</v>
      </c>
      <c r="S152" s="27">
        <v>9433.9500000000007</v>
      </c>
      <c r="T152" s="27">
        <v>1152.06</v>
      </c>
      <c r="U152" s="7">
        <v>0.12211851875407438</v>
      </c>
      <c r="V152" s="7">
        <v>9.7742242259871094E-4</v>
      </c>
      <c r="W152" s="8">
        <v>6.3063063063063057E-2</v>
      </c>
      <c r="X152" s="24">
        <v>0.24324324324324326</v>
      </c>
      <c r="Y152" s="24">
        <v>0.45045045045045046</v>
      </c>
      <c r="Z152" s="24">
        <v>0.34234234234234234</v>
      </c>
      <c r="AA152" s="24">
        <v>0.2072072072072072</v>
      </c>
      <c r="AB152" s="24">
        <v>-1.412872841444286E-2</v>
      </c>
      <c r="AC152" s="24">
        <v>-0.13617981451504244</v>
      </c>
      <c r="AD152" s="6" t="s">
        <v>36</v>
      </c>
      <c r="AE152" s="6" t="s">
        <v>41</v>
      </c>
      <c r="AF152" t="s">
        <v>325</v>
      </c>
      <c r="AG152" t="s">
        <v>326</v>
      </c>
      <c r="AH152" t="s">
        <v>48</v>
      </c>
    </row>
    <row r="153" spans="1:34" x14ac:dyDescent="0.25">
      <c r="A153" s="1" t="s">
        <v>321</v>
      </c>
      <c r="B153" s="1" t="str">
        <f>SUBSTITUTE(ListingTable[[#This Row],[Program]],".zip","_case.pptx")</f>
        <v>FSC18099_980095236_20181123_12_case.pptx</v>
      </c>
      <c r="C153" s="83" t="s">
        <v>872</v>
      </c>
      <c r="D153" s="78"/>
      <c r="E153" s="78"/>
      <c r="F153" s="2" t="s">
        <v>40</v>
      </c>
      <c r="G153" s="3">
        <v>43427</v>
      </c>
      <c r="H153" s="4">
        <v>43433</v>
      </c>
      <c r="I153" s="30" t="s">
        <v>322</v>
      </c>
      <c r="J153" s="4" t="s">
        <v>323</v>
      </c>
      <c r="K153" s="5" t="s">
        <v>77</v>
      </c>
      <c r="L153" s="5" t="s">
        <v>324</v>
      </c>
      <c r="M153" s="5">
        <v>2</v>
      </c>
      <c r="N153" s="5">
        <v>5</v>
      </c>
      <c r="O153" s="5">
        <v>100</v>
      </c>
      <c r="P153" s="5">
        <v>479</v>
      </c>
      <c r="Q153" s="5">
        <v>943395</v>
      </c>
      <c r="R153" s="5">
        <v>115206</v>
      </c>
      <c r="S153" s="27">
        <v>9433.9500000000007</v>
      </c>
      <c r="T153" s="27">
        <v>1152.06</v>
      </c>
      <c r="U153" s="7">
        <v>0.12211851875407438</v>
      </c>
      <c r="V153" s="7">
        <v>1.567398119122257E-3</v>
      </c>
      <c r="W153" s="8">
        <v>6.1797752808988762E-2</v>
      </c>
      <c r="X153" s="24">
        <v>0.25280898876404495</v>
      </c>
      <c r="Y153" s="24">
        <v>0.48314606741573035</v>
      </c>
      <c r="Z153" s="24">
        <v>0.3202247191011236</v>
      </c>
      <c r="AA153" s="24">
        <v>0.19662921348314608</v>
      </c>
      <c r="AB153" s="24">
        <v>0.17391304347826095</v>
      </c>
      <c r="AC153" s="24">
        <v>-5.7978821834347313E-2</v>
      </c>
      <c r="AD153" s="6" t="s">
        <v>36</v>
      </c>
      <c r="AE153" s="6" t="s">
        <v>41</v>
      </c>
      <c r="AF153" t="s">
        <v>325</v>
      </c>
      <c r="AG153" t="s">
        <v>326</v>
      </c>
      <c r="AH153" t="s">
        <v>48</v>
      </c>
    </row>
    <row r="154" spans="1:34" x14ac:dyDescent="0.25">
      <c r="A154" s="1" t="s">
        <v>421</v>
      </c>
      <c r="B154" s="1" t="str">
        <f>SUBSTITUTE(ListingTable[[#This Row],[Program]],".zip","_case.pptx")</f>
        <v>FSC18120_980126238_20190111_12_case.pptx</v>
      </c>
      <c r="C154" s="83" t="s">
        <v>873</v>
      </c>
      <c r="D154" s="78"/>
      <c r="E154" s="78"/>
      <c r="F154" s="2" t="s">
        <v>40</v>
      </c>
      <c r="G154" s="3">
        <v>43476</v>
      </c>
      <c r="H154" s="4">
        <v>43482</v>
      </c>
      <c r="I154" s="30" t="s">
        <v>307</v>
      </c>
      <c r="J154" s="4" t="s">
        <v>308</v>
      </c>
      <c r="K154" s="5" t="s">
        <v>34</v>
      </c>
      <c r="L154" s="5" t="s">
        <v>309</v>
      </c>
      <c r="M154" s="5">
        <v>54</v>
      </c>
      <c r="N154" s="5">
        <v>7</v>
      </c>
      <c r="O154" s="5">
        <v>75</v>
      </c>
      <c r="P154" s="5">
        <v>514</v>
      </c>
      <c r="Q154" s="5">
        <v>883551</v>
      </c>
      <c r="R154" s="5">
        <v>55646</v>
      </c>
      <c r="S154" s="27">
        <v>11780.68</v>
      </c>
      <c r="T154" s="27">
        <v>741.94666666666672</v>
      </c>
      <c r="U154" s="7">
        <v>6.297995248717958E-2</v>
      </c>
      <c r="V154" s="7">
        <v>3.6559413594281455E-3</v>
      </c>
      <c r="W154" s="8">
        <v>5.9701492537313432E-2</v>
      </c>
      <c r="X154" s="24">
        <v>0.65174129353233834</v>
      </c>
      <c r="Y154" s="24">
        <v>0.845771144278607</v>
      </c>
      <c r="Z154" s="24">
        <v>7.9601990049751242E-2</v>
      </c>
      <c r="AA154" s="24">
        <v>7.4626865671641784E-2</v>
      </c>
      <c r="AB154" s="24">
        <v>0.82648401826483997</v>
      </c>
      <c r="AC154" s="24">
        <v>0.30864986063602173</v>
      </c>
      <c r="AD154" s="6" t="s">
        <v>36</v>
      </c>
      <c r="AE154" s="6" t="s">
        <v>41</v>
      </c>
      <c r="AF154" t="s">
        <v>415</v>
      </c>
      <c r="AG154" t="s">
        <v>416</v>
      </c>
      <c r="AH154" t="s">
        <v>34</v>
      </c>
    </row>
    <row r="155" spans="1:34" x14ac:dyDescent="0.25">
      <c r="A155" s="1" t="s">
        <v>610</v>
      </c>
      <c r="B155" s="29" t="str">
        <f>SUBSTITUTE(ListingTable[[#This Row],[Program]],".zip","_case.pptx")</f>
        <v>FSC19001_11260_20190329_12_case.pptx</v>
      </c>
      <c r="C155" s="84" t="s">
        <v>874</v>
      </c>
      <c r="D155" s="78" t="s">
        <v>703</v>
      </c>
      <c r="E155" s="78"/>
      <c r="F155" s="2" t="s">
        <v>40</v>
      </c>
      <c r="G155" s="3">
        <v>43553</v>
      </c>
      <c r="H155" s="4">
        <v>43559</v>
      </c>
      <c r="I155" s="30">
        <v>11260</v>
      </c>
      <c r="J155" s="4" t="s">
        <v>628</v>
      </c>
      <c r="K155" s="5" t="s">
        <v>635</v>
      </c>
      <c r="L155" s="5" t="s">
        <v>639</v>
      </c>
      <c r="M155" s="5">
        <v>1</v>
      </c>
      <c r="N155" s="5">
        <v>26</v>
      </c>
      <c r="O155" s="5">
        <v>589</v>
      </c>
      <c r="P155" s="5">
        <v>0</v>
      </c>
      <c r="Q155" s="5">
        <v>6855974</v>
      </c>
      <c r="R155" s="5">
        <v>1077871</v>
      </c>
      <c r="S155" s="27">
        <v>11640.023769100169</v>
      </c>
      <c r="T155" s="27">
        <v>1830.0016977928692</v>
      </c>
      <c r="U155" s="7">
        <v>0.157</v>
      </c>
      <c r="V155" s="7">
        <v>1.7999999999999999E-2</v>
      </c>
      <c r="W155" s="8">
        <v>5.8999999999999997E-2</v>
      </c>
      <c r="X155" s="24">
        <v>0.63300000000000001</v>
      </c>
      <c r="Y155" s="24">
        <v>0.74</v>
      </c>
      <c r="Z155" s="24">
        <v>0.09</v>
      </c>
      <c r="AA155" s="24">
        <v>0.17</v>
      </c>
      <c r="AB155" s="24">
        <v>-0.17</v>
      </c>
      <c r="AC155" s="24"/>
      <c r="AD155" s="6" t="s">
        <v>57</v>
      </c>
      <c r="AE155" s="6" t="s">
        <v>41</v>
      </c>
      <c r="AF155" t="s">
        <v>644</v>
      </c>
      <c r="AG155" t="str">
        <f>+_xlfn.CONCAT(ListingTable[[#This Row],[Program2]],ListingTable[[#This Row],[Start date]])</f>
        <v>FSC1900143553</v>
      </c>
      <c r="AH155" t="s">
        <v>42</v>
      </c>
    </row>
    <row r="156" spans="1:34" x14ac:dyDescent="0.25">
      <c r="A156" s="1" t="s">
        <v>503</v>
      </c>
      <c r="B156" s="1" t="str">
        <f>SUBSTITUTE(ListingTable[[#This Row],[Program]],".zip","_case.pptx")</f>
        <v>FSC18109_980140787_20190104_12_case.pptx</v>
      </c>
      <c r="C156" s="83" t="s">
        <v>875</v>
      </c>
      <c r="D156" s="78"/>
      <c r="E156" s="78"/>
      <c r="F156" s="2" t="s">
        <v>40</v>
      </c>
      <c r="G156" s="3">
        <v>43469</v>
      </c>
      <c r="H156" s="4">
        <v>43475</v>
      </c>
      <c r="I156" s="30" t="s">
        <v>504</v>
      </c>
      <c r="J156" s="4" t="s">
        <v>192</v>
      </c>
      <c r="K156" s="5" t="s">
        <v>34</v>
      </c>
      <c r="L156" s="5" t="s">
        <v>193</v>
      </c>
      <c r="M156" s="5">
        <v>54</v>
      </c>
      <c r="N156" s="5">
        <v>8</v>
      </c>
      <c r="O156" s="5">
        <v>300</v>
      </c>
      <c r="P156" s="5">
        <v>274</v>
      </c>
      <c r="Q156" s="5">
        <v>3758720</v>
      </c>
      <c r="R156" s="5">
        <v>293361</v>
      </c>
      <c r="S156" s="27">
        <v>12529.066666666668</v>
      </c>
      <c r="T156" s="27">
        <v>977.87</v>
      </c>
      <c r="U156" s="7">
        <v>7.8048112123276003E-2</v>
      </c>
      <c r="V156" s="7">
        <v>1.6319593184738902E-2</v>
      </c>
      <c r="W156" s="8">
        <v>5.8848433530906012E-2</v>
      </c>
      <c r="X156" s="24">
        <v>0.65304826418289585</v>
      </c>
      <c r="Y156" s="24">
        <v>0.76989839119390346</v>
      </c>
      <c r="Z156" s="24">
        <v>0.12870448772226925</v>
      </c>
      <c r="AA156" s="24">
        <v>0.10139712108382727</v>
      </c>
      <c r="AB156" s="24">
        <v>2.796266209439803</v>
      </c>
      <c r="AC156" s="24">
        <v>0.7802742899978613</v>
      </c>
      <c r="AD156" s="6" t="s">
        <v>57</v>
      </c>
      <c r="AE156" s="6" t="s">
        <v>41</v>
      </c>
      <c r="AF156" t="s">
        <v>483</v>
      </c>
      <c r="AG156" t="s">
        <v>484</v>
      </c>
      <c r="AH156" t="s">
        <v>34</v>
      </c>
    </row>
    <row r="157" spans="1:34" x14ac:dyDescent="0.25">
      <c r="A157" s="1" t="s">
        <v>190</v>
      </c>
      <c r="B157" s="1" t="str">
        <f>SUBSTITUTE(ListingTable[[#This Row],[Program]],".zip","_case.pptx")</f>
        <v>FSC18075_57116_20181005_12_case.pptx</v>
      </c>
      <c r="C157" s="83" t="s">
        <v>876</v>
      </c>
      <c r="D157" s="78"/>
      <c r="E157" s="78"/>
      <c r="F157" s="2" t="s">
        <v>40</v>
      </c>
      <c r="G157" s="3">
        <v>43378</v>
      </c>
      <c r="H157" s="4">
        <v>43384</v>
      </c>
      <c r="I157" s="30" t="s">
        <v>191</v>
      </c>
      <c r="J157" s="4" t="s">
        <v>192</v>
      </c>
      <c r="K157" s="5" t="s">
        <v>34</v>
      </c>
      <c r="L157" s="5" t="s">
        <v>193</v>
      </c>
      <c r="M157" s="5">
        <v>54</v>
      </c>
      <c r="N157" s="5">
        <v>8</v>
      </c>
      <c r="O157" s="5">
        <v>42</v>
      </c>
      <c r="P157" s="5">
        <v>542</v>
      </c>
      <c r="Q157" s="5">
        <v>429767</v>
      </c>
      <c r="R157" s="5">
        <v>10713</v>
      </c>
      <c r="S157" s="27">
        <v>10232.547619047618</v>
      </c>
      <c r="T157" s="27">
        <v>255.07142857142858</v>
      </c>
      <c r="U157" s="7">
        <v>2.4927460693817814E-2</v>
      </c>
      <c r="V157" s="7">
        <v>1.7665202355360315E-2</v>
      </c>
      <c r="W157" s="8">
        <v>5.8201058201058198E-2</v>
      </c>
      <c r="X157" s="24">
        <v>0.55026455026455023</v>
      </c>
      <c r="Y157" s="24">
        <v>0.62962962962962965</v>
      </c>
      <c r="Z157" s="24">
        <v>0.13227513227513227</v>
      </c>
      <c r="AA157" s="24">
        <v>0.23809523809523808</v>
      </c>
      <c r="AB157" s="24">
        <v>0.25914923279489832</v>
      </c>
      <c r="AC157" s="24">
        <v>-8.0173530080768107E-2</v>
      </c>
      <c r="AD157" s="6" t="s">
        <v>36</v>
      </c>
      <c r="AE157" s="6" t="s">
        <v>37</v>
      </c>
      <c r="AF157" t="s">
        <v>180</v>
      </c>
      <c r="AG157" t="s">
        <v>181</v>
      </c>
      <c r="AH157" t="s">
        <v>34</v>
      </c>
    </row>
    <row r="158" spans="1:34" x14ac:dyDescent="0.25">
      <c r="A158" s="1" t="s">
        <v>127</v>
      </c>
      <c r="B158" s="1" t="str">
        <f>SUBSTITUTE(ListingTable[[#This Row],[Program]],".zip","_case.pptx")</f>
        <v>FSC18035_850895_20180518_12_case.pptx</v>
      </c>
      <c r="C158" s="83" t="s">
        <v>877</v>
      </c>
      <c r="D158" s="78"/>
      <c r="E158" s="78"/>
      <c r="F158" s="2" t="s">
        <v>40</v>
      </c>
      <c r="G158" s="3">
        <v>43238</v>
      </c>
      <c r="H158" s="4">
        <v>43244</v>
      </c>
      <c r="I158" s="30" t="s">
        <v>109</v>
      </c>
      <c r="J158" s="4" t="s">
        <v>110</v>
      </c>
      <c r="K158" s="5" t="s">
        <v>93</v>
      </c>
      <c r="L158" s="5" t="s">
        <v>111</v>
      </c>
      <c r="M158" s="5">
        <v>13</v>
      </c>
      <c r="N158" s="5">
        <v>36</v>
      </c>
      <c r="O158" s="5">
        <v>379</v>
      </c>
      <c r="P158" s="5">
        <v>210</v>
      </c>
      <c r="Q158" s="5">
        <v>4585566</v>
      </c>
      <c r="R158" s="5">
        <v>95660</v>
      </c>
      <c r="S158" s="27">
        <v>12099.118733509235</v>
      </c>
      <c r="T158" s="27">
        <v>252.40105540897099</v>
      </c>
      <c r="U158" s="7">
        <v>2.0861110711305867E-2</v>
      </c>
      <c r="V158" s="7">
        <v>0.12611574403888864</v>
      </c>
      <c r="W158" s="8">
        <v>5.7484631998670876E-2</v>
      </c>
      <c r="X158" s="24">
        <v>0.90297391593287923</v>
      </c>
      <c r="Y158" s="24">
        <v>0.85412859278949993</v>
      </c>
      <c r="Z158" s="24">
        <v>0</v>
      </c>
      <c r="AA158" s="24">
        <v>0.14587140721050007</v>
      </c>
      <c r="AB158" s="24">
        <v>1.0359801761357192</v>
      </c>
      <c r="AC158" s="24">
        <v>0.27214341448437368</v>
      </c>
      <c r="AD158" s="6" t="s">
        <v>36</v>
      </c>
      <c r="AE158" s="6" t="s">
        <v>37</v>
      </c>
      <c r="AF158" t="s">
        <v>128</v>
      </c>
      <c r="AG158" t="s">
        <v>129</v>
      </c>
      <c r="AH158" t="s">
        <v>48</v>
      </c>
    </row>
    <row r="159" spans="1:34" x14ac:dyDescent="0.25">
      <c r="A159" s="1" t="s">
        <v>439</v>
      </c>
      <c r="B159" s="1" t="str">
        <f>SUBSTITUTE(ListingTable[[#This Row],[Program]],".zip","_case.pptx")</f>
        <v>FSC18091_980000614_20181207_12_case.pptx</v>
      </c>
      <c r="C159" s="83" t="s">
        <v>878</v>
      </c>
      <c r="D159" s="78"/>
      <c r="E159" s="78"/>
      <c r="F159" s="2" t="s">
        <v>40</v>
      </c>
      <c r="G159" s="3">
        <v>43441</v>
      </c>
      <c r="H159" s="4">
        <v>43447</v>
      </c>
      <c r="I159" s="30" t="s">
        <v>360</v>
      </c>
      <c r="J159" s="4" t="s">
        <v>361</v>
      </c>
      <c r="K159" s="5" t="s">
        <v>362</v>
      </c>
      <c r="L159" s="5" t="s">
        <v>363</v>
      </c>
      <c r="M159" s="5">
        <v>4</v>
      </c>
      <c r="N159" s="5">
        <v>90</v>
      </c>
      <c r="O159" s="5">
        <v>76</v>
      </c>
      <c r="P159" s="5">
        <v>512</v>
      </c>
      <c r="Q159" s="5">
        <v>905434</v>
      </c>
      <c r="R159" s="5">
        <v>92910</v>
      </c>
      <c r="S159" s="27">
        <v>11913.605263157895</v>
      </c>
      <c r="T159" s="27">
        <v>1222.5</v>
      </c>
      <c r="U159" s="7">
        <v>0.10261377416796807</v>
      </c>
      <c r="V159" s="7">
        <v>2.1203688546952582E-2</v>
      </c>
      <c r="W159" s="8">
        <v>5.249613998970664E-2</v>
      </c>
      <c r="X159" s="24">
        <v>0.14976839938239836</v>
      </c>
      <c r="Y159" s="24">
        <v>0.5151827071538857</v>
      </c>
      <c r="Z159" s="24">
        <v>0.36798764796706124</v>
      </c>
      <c r="AA159" s="24">
        <v>0.11682964487905301</v>
      </c>
      <c r="AB159" s="24">
        <v>8.1168244845401291E-2</v>
      </c>
      <c r="AC159" s="24">
        <v>1.6865328269166299E-2</v>
      </c>
      <c r="AD159" s="6" t="s">
        <v>147</v>
      </c>
      <c r="AE159" s="6" t="s">
        <v>71</v>
      </c>
      <c r="AF159" t="s">
        <v>364</v>
      </c>
      <c r="AG159" t="s">
        <v>440</v>
      </c>
      <c r="AH159" t="s">
        <v>48</v>
      </c>
    </row>
    <row r="160" spans="1:34" x14ac:dyDescent="0.25">
      <c r="A160" s="1" t="s">
        <v>607</v>
      </c>
      <c r="B160" s="29" t="str">
        <f>SUBSTITUTE(ListingTable[[#This Row],[Program]],".zip","_case.pptx")</f>
        <v>FSC18130_980169086_20190412_12_case.pptx</v>
      </c>
      <c r="C160" s="84" t="s">
        <v>879</v>
      </c>
      <c r="D160" s="78"/>
      <c r="E160" s="78"/>
      <c r="F160" s="2" t="s">
        <v>40</v>
      </c>
      <c r="G160" s="3">
        <v>43567</v>
      </c>
      <c r="H160" s="4">
        <v>43573</v>
      </c>
      <c r="I160" s="30">
        <v>980169086</v>
      </c>
      <c r="J160" s="4" t="s">
        <v>626</v>
      </c>
      <c r="K160" s="5" t="s">
        <v>635</v>
      </c>
      <c r="L160" s="5" t="s">
        <v>636</v>
      </c>
      <c r="M160" s="5">
        <v>1</v>
      </c>
      <c r="N160" s="5">
        <v>10</v>
      </c>
      <c r="O160" s="5">
        <v>589</v>
      </c>
      <c r="P160" s="5">
        <v>0</v>
      </c>
      <c r="Q160" s="5">
        <v>7015725</v>
      </c>
      <c r="R160" s="5">
        <v>1192666</v>
      </c>
      <c r="S160" s="27">
        <v>11911.247877758913</v>
      </c>
      <c r="T160" s="27">
        <v>2024.8998302207131</v>
      </c>
      <c r="U160" s="7">
        <v>0.17</v>
      </c>
      <c r="V160" s="7">
        <v>6.0000000000000001E-3</v>
      </c>
      <c r="W160" s="8">
        <v>5.0999999999999997E-2</v>
      </c>
      <c r="X160" s="24">
        <v>0.46</v>
      </c>
      <c r="Y160" s="24">
        <v>0.63</v>
      </c>
      <c r="Z160" s="24">
        <v>0.23</v>
      </c>
      <c r="AA160" s="24">
        <v>0.13</v>
      </c>
      <c r="AB160" s="24">
        <v>1.1399999999999999</v>
      </c>
      <c r="AC160" s="24"/>
      <c r="AD160" s="6" t="s">
        <v>36</v>
      </c>
      <c r="AE160" s="6" t="s">
        <v>41</v>
      </c>
      <c r="AF160" t="s">
        <v>643</v>
      </c>
      <c r="AG160" t="str">
        <f>+_xlfn.CONCAT(ListingTable[[#This Row],[Program2]],ListingTable[[#This Row],[Start date]])</f>
        <v>FSC1813043567</v>
      </c>
      <c r="AH160" t="s">
        <v>42</v>
      </c>
    </row>
    <row r="161" spans="1:34" x14ac:dyDescent="0.25">
      <c r="A161" s="1" t="s">
        <v>356</v>
      </c>
      <c r="B161" s="1" t="str">
        <f>SUBSTITUTE(ListingTable[[#This Row],[Program]],".zip","_case.pptx")</f>
        <v>FSC17141_980081302_20180518_12_case.pptx</v>
      </c>
      <c r="C161" s="83" t="s">
        <v>880</v>
      </c>
      <c r="D161" s="78"/>
      <c r="E161" s="78"/>
      <c r="F161" s="2" t="s">
        <v>40</v>
      </c>
      <c r="G161" s="3">
        <v>43238</v>
      </c>
      <c r="H161" s="4">
        <v>43244</v>
      </c>
      <c r="I161" s="30" t="s">
        <v>357</v>
      </c>
      <c r="J161" s="4" t="s">
        <v>358</v>
      </c>
      <c r="K161" s="5" t="s">
        <v>77</v>
      </c>
      <c r="L161" s="5" t="s">
        <v>324</v>
      </c>
      <c r="M161" s="5">
        <v>2</v>
      </c>
      <c r="N161" s="5">
        <v>5</v>
      </c>
      <c r="O161" s="5">
        <v>57</v>
      </c>
      <c r="P161" s="5">
        <v>531</v>
      </c>
      <c r="Q161" s="5">
        <v>761082</v>
      </c>
      <c r="R161" s="5">
        <v>91802</v>
      </c>
      <c r="S161" s="27">
        <v>13352.315789473685</v>
      </c>
      <c r="T161" s="27">
        <v>1610.5614035087719</v>
      </c>
      <c r="U161" s="7">
        <v>0.12062037993277991</v>
      </c>
      <c r="V161" s="7">
        <v>1.0029348809497539E-2</v>
      </c>
      <c r="W161" s="8">
        <v>4.2904290429042903E-2</v>
      </c>
      <c r="X161" s="24">
        <v>0.45324532453245325</v>
      </c>
      <c r="Y161" s="24">
        <v>0.58305830583058305</v>
      </c>
      <c r="Z161" s="24">
        <v>0.33003300330033003</v>
      </c>
      <c r="AA161" s="24">
        <v>8.690869086908691E-2</v>
      </c>
      <c r="AB161" s="24">
        <v>1.0343068254467946</v>
      </c>
      <c r="AC161" s="24">
        <v>0.18684275943258175</v>
      </c>
      <c r="AD161" s="6" t="s">
        <v>57</v>
      </c>
      <c r="AE161" s="6" t="s">
        <v>41</v>
      </c>
      <c r="AF161" t="s">
        <v>354</v>
      </c>
      <c r="AG161" t="s">
        <v>355</v>
      </c>
      <c r="AH161" t="s">
        <v>48</v>
      </c>
    </row>
    <row r="162" spans="1:34" x14ac:dyDescent="0.25">
      <c r="A162" s="1" t="s">
        <v>611</v>
      </c>
      <c r="B162" s="29" t="str">
        <f>SUBSTITUTE(ListingTable[[#This Row],[Program]],".zip","_case.pptx")</f>
        <v>FSC19001_825714_20190329_12_case.pptx</v>
      </c>
      <c r="C162" s="84" t="s">
        <v>881</v>
      </c>
      <c r="D162" s="78" t="s">
        <v>703</v>
      </c>
      <c r="E162" s="78"/>
      <c r="F162" s="2" t="s">
        <v>40</v>
      </c>
      <c r="G162" s="3">
        <v>43553</v>
      </c>
      <c r="H162" s="4">
        <v>43559</v>
      </c>
      <c r="I162" s="30">
        <v>825714</v>
      </c>
      <c r="J162" s="4" t="s">
        <v>629</v>
      </c>
      <c r="K162" s="5" t="s">
        <v>635</v>
      </c>
      <c r="L162" s="5" t="s">
        <v>639</v>
      </c>
      <c r="M162" s="5">
        <v>1</v>
      </c>
      <c r="N162" s="5">
        <v>26</v>
      </c>
      <c r="O162" s="5">
        <v>589</v>
      </c>
      <c r="P162" s="5">
        <v>0</v>
      </c>
      <c r="Q162" s="5">
        <v>6855974</v>
      </c>
      <c r="R162" s="5">
        <v>1077871</v>
      </c>
      <c r="S162" s="27">
        <v>11640.023769100169</v>
      </c>
      <c r="T162" s="27">
        <v>1830.0016977928692</v>
      </c>
      <c r="U162" s="7">
        <v>0.157</v>
      </c>
      <c r="V162" s="7">
        <v>1.7999999999999999E-2</v>
      </c>
      <c r="W162" s="8">
        <v>4.2000000000000003E-2</v>
      </c>
      <c r="X162" s="24">
        <v>0.45400000000000001</v>
      </c>
      <c r="Y162" s="24">
        <v>0.8</v>
      </c>
      <c r="Z162" s="24">
        <v>0.14000000000000001</v>
      </c>
      <c r="AA162" s="24">
        <v>0.06</v>
      </c>
      <c r="AB162" s="24">
        <v>0.15</v>
      </c>
      <c r="AC162" s="24"/>
      <c r="AD162" s="6" t="s">
        <v>57</v>
      </c>
      <c r="AE162" s="6" t="s">
        <v>41</v>
      </c>
      <c r="AF162" t="s">
        <v>644</v>
      </c>
      <c r="AG162" t="str">
        <f>+_xlfn.CONCAT(ListingTable[[#This Row],[Program2]],ListingTable[[#This Row],[Start date]])</f>
        <v>FSC1900143553</v>
      </c>
      <c r="AH162" t="s">
        <v>42</v>
      </c>
    </row>
    <row r="163" spans="1:34" x14ac:dyDescent="0.25">
      <c r="A163" s="1" t="s">
        <v>426</v>
      </c>
      <c r="B163" s="1" t="str">
        <f>SUBSTITUTE(ListingTable[[#This Row],[Program]],".zip","_case.pptx")</f>
        <v>FSC18114_980116253_20190111_12_case.pptx</v>
      </c>
      <c r="C163" s="83" t="s">
        <v>882</v>
      </c>
      <c r="D163" s="78"/>
      <c r="E163" s="78"/>
      <c r="F163" s="2" t="s">
        <v>40</v>
      </c>
      <c r="G163" s="3">
        <v>43476</v>
      </c>
      <c r="H163" s="4">
        <v>43482</v>
      </c>
      <c r="I163" s="30" t="s">
        <v>427</v>
      </c>
      <c r="J163" s="4" t="s">
        <v>428</v>
      </c>
      <c r="K163" s="5" t="s">
        <v>34</v>
      </c>
      <c r="L163" s="5" t="s">
        <v>193</v>
      </c>
      <c r="M163" s="5">
        <v>54</v>
      </c>
      <c r="N163" s="5">
        <v>8</v>
      </c>
      <c r="O163" s="5">
        <v>31</v>
      </c>
      <c r="P163" s="5">
        <v>6</v>
      </c>
      <c r="Q163" s="5">
        <v>391666</v>
      </c>
      <c r="R163" s="5">
        <v>26919</v>
      </c>
      <c r="S163" s="27">
        <v>12634.387096774193</v>
      </c>
      <c r="T163" s="27">
        <v>868.35483870967744</v>
      </c>
      <c r="U163" s="7">
        <v>6.8729478688474357E-2</v>
      </c>
      <c r="V163" s="7">
        <v>1.8516419151267808E-3</v>
      </c>
      <c r="W163" s="8">
        <v>4.0816326530612242E-2</v>
      </c>
      <c r="X163" s="24">
        <v>0.53061224489795922</v>
      </c>
      <c r="Y163" s="24">
        <v>0.69387755102040816</v>
      </c>
      <c r="Z163" s="24">
        <v>0.12244897959183673</v>
      </c>
      <c r="AA163" s="24">
        <v>0.18367346938775511</v>
      </c>
      <c r="AB163" s="24">
        <v>0.42987949271167714</v>
      </c>
      <c r="AC163" s="24">
        <v>0.28813559322033921</v>
      </c>
      <c r="AD163" s="6" t="s">
        <v>36</v>
      </c>
      <c r="AE163" s="6" t="s">
        <v>41</v>
      </c>
      <c r="AF163" t="s">
        <v>423</v>
      </c>
      <c r="AG163" t="s">
        <v>424</v>
      </c>
      <c r="AH163" t="s">
        <v>34</v>
      </c>
    </row>
    <row r="164" spans="1:34" x14ac:dyDescent="0.25">
      <c r="A164" s="1" t="s">
        <v>366</v>
      </c>
      <c r="B164" s="1" t="str">
        <f>SUBSTITUTE(ListingTable[[#This Row],[Program]],".zip","_case.pptx")</f>
        <v>FSC18091_980143448_20181123_12_case.pptx</v>
      </c>
      <c r="C164" s="83" t="s">
        <v>883</v>
      </c>
      <c r="D164" s="78"/>
      <c r="E164" s="78"/>
      <c r="F164" s="2" t="s">
        <v>40</v>
      </c>
      <c r="G164" s="3">
        <v>43427</v>
      </c>
      <c r="H164" s="4">
        <v>43433</v>
      </c>
      <c r="I164" s="30" t="s">
        <v>367</v>
      </c>
      <c r="J164" s="4" t="s">
        <v>368</v>
      </c>
      <c r="K164" s="5" t="s">
        <v>362</v>
      </c>
      <c r="L164" s="5" t="s">
        <v>363</v>
      </c>
      <c r="M164" s="5">
        <v>4</v>
      </c>
      <c r="N164" s="5">
        <v>90</v>
      </c>
      <c r="O164" s="5">
        <v>62</v>
      </c>
      <c r="P164" s="5">
        <v>43</v>
      </c>
      <c r="Q164" s="5">
        <v>631383</v>
      </c>
      <c r="R164" s="5">
        <v>75883</v>
      </c>
      <c r="S164" s="27">
        <v>10183.596774193549</v>
      </c>
      <c r="T164" s="27">
        <v>1223.9193548387098</v>
      </c>
      <c r="U164" s="7">
        <v>0.12018537084463789</v>
      </c>
      <c r="V164" s="7">
        <v>3.3759282799223925E-2</v>
      </c>
      <c r="W164" s="8">
        <v>3.6860879904875146E-2</v>
      </c>
      <c r="X164" s="24">
        <v>0.45659928656361476</v>
      </c>
      <c r="Y164" s="24">
        <v>0.65675782798256044</v>
      </c>
      <c r="Z164" s="24">
        <v>0.3380895759017043</v>
      </c>
      <c r="AA164" s="24">
        <v>5.1525961157352362E-3</v>
      </c>
      <c r="AB164" s="24">
        <v>1.1710765189631802</v>
      </c>
      <c r="AC164" s="24">
        <v>0.28024916918703041</v>
      </c>
      <c r="AD164" s="6" t="s">
        <v>57</v>
      </c>
      <c r="AE164" s="6" t="s">
        <v>71</v>
      </c>
      <c r="AF164" t="s">
        <v>364</v>
      </c>
      <c r="AG164" t="s">
        <v>365</v>
      </c>
      <c r="AH164" t="s">
        <v>48</v>
      </c>
    </row>
    <row r="165" spans="1:34" x14ac:dyDescent="0.25">
      <c r="A165" s="1" t="s">
        <v>223</v>
      </c>
      <c r="B165" s="1" t="str">
        <f>SUBSTITUTE(ListingTable[[#This Row],[Program]],".zip","_case.pptx")</f>
        <v>FSC18036_846162_20180608_12_case.pptx</v>
      </c>
      <c r="C165" s="83" t="s">
        <v>884</v>
      </c>
      <c r="D165" s="78"/>
      <c r="E165" s="78"/>
      <c r="F165" s="2" t="s">
        <v>40</v>
      </c>
      <c r="G165" s="3">
        <v>43259</v>
      </c>
      <c r="H165" s="4">
        <v>43265</v>
      </c>
      <c r="I165" s="30" t="s">
        <v>224</v>
      </c>
      <c r="J165" s="4" t="s">
        <v>225</v>
      </c>
      <c r="K165" s="5" t="s">
        <v>77</v>
      </c>
      <c r="L165" s="5" t="s">
        <v>215</v>
      </c>
      <c r="M165" s="5">
        <v>2</v>
      </c>
      <c r="N165" s="5">
        <v>8</v>
      </c>
      <c r="O165" s="5">
        <v>589</v>
      </c>
      <c r="P165" s="5">
        <v>0</v>
      </c>
      <c r="Q165" s="5">
        <v>7079248</v>
      </c>
      <c r="R165" s="5">
        <v>214478</v>
      </c>
      <c r="S165" s="27">
        <v>12019.096774193549</v>
      </c>
      <c r="T165" s="27">
        <v>364.13921901528016</v>
      </c>
      <c r="U165" s="7">
        <v>3.0296720781642344E-2</v>
      </c>
      <c r="V165" s="7">
        <v>1.5433589153356056E-2</v>
      </c>
      <c r="W165" s="8">
        <v>3.6452004860267312E-2</v>
      </c>
      <c r="X165" s="24">
        <v>0.62393681652490884</v>
      </c>
      <c r="Y165" s="24">
        <v>0.57958687727825031</v>
      </c>
      <c r="Z165" s="24">
        <v>0.16373025516403403</v>
      </c>
      <c r="AA165" s="24">
        <v>0.25668286755771569</v>
      </c>
      <c r="AB165" s="24">
        <v>0.21817356797850002</v>
      </c>
      <c r="AC165" s="24"/>
      <c r="AD165" s="6" t="s">
        <v>36</v>
      </c>
      <c r="AE165" s="6" t="s">
        <v>37</v>
      </c>
      <c r="AF165" t="s">
        <v>210</v>
      </c>
      <c r="AG165" t="s">
        <v>211</v>
      </c>
      <c r="AH165" t="s">
        <v>48</v>
      </c>
    </row>
    <row r="166" spans="1:34" x14ac:dyDescent="0.25">
      <c r="A166" s="1" t="s">
        <v>378</v>
      </c>
      <c r="B166" s="1" t="str">
        <f>SUBSTITUTE(ListingTable[[#This Row],[Program]],".zip","_case.pptx")</f>
        <v>FSC18041_151141_20180615_12_case.pptx</v>
      </c>
      <c r="C166" s="83" t="s">
        <v>885</v>
      </c>
      <c r="D166" s="78"/>
      <c r="E166" s="78"/>
      <c r="F166" s="2" t="s">
        <v>40</v>
      </c>
      <c r="G166" s="3">
        <v>43266</v>
      </c>
      <c r="H166" s="4">
        <v>43272</v>
      </c>
      <c r="I166" s="30" t="s">
        <v>379</v>
      </c>
      <c r="J166" s="4" t="s">
        <v>380</v>
      </c>
      <c r="K166" s="5" t="s">
        <v>34</v>
      </c>
      <c r="L166" s="5" t="s">
        <v>381</v>
      </c>
      <c r="M166" s="5">
        <v>54</v>
      </c>
      <c r="N166" s="5">
        <v>2</v>
      </c>
      <c r="O166" s="5">
        <v>167</v>
      </c>
      <c r="P166" s="5">
        <v>422</v>
      </c>
      <c r="Q166" s="5">
        <v>1847296</v>
      </c>
      <c r="R166" s="5">
        <v>115490</v>
      </c>
      <c r="S166" s="27">
        <v>11061.652694610779</v>
      </c>
      <c r="T166" s="27">
        <v>691.55688622754496</v>
      </c>
      <c r="U166" s="7">
        <v>6.2518405279933478E-2</v>
      </c>
      <c r="V166" s="7">
        <v>2.2446295484436652E-3</v>
      </c>
      <c r="W166" s="8">
        <v>3.515625E-2</v>
      </c>
      <c r="X166" s="24">
        <v>0.40234375</v>
      </c>
      <c r="Y166" s="24">
        <v>0.5</v>
      </c>
      <c r="Z166" s="24">
        <v>0.23828125</v>
      </c>
      <c r="AA166" s="24">
        <v>0.26171875</v>
      </c>
      <c r="AB166" s="24">
        <v>0.34137329801717792</v>
      </c>
      <c r="AC166" s="24">
        <v>-0.10386866880541573</v>
      </c>
      <c r="AD166" s="6" t="s">
        <v>36</v>
      </c>
      <c r="AE166" s="6" t="s">
        <v>372</v>
      </c>
      <c r="AF166" t="s">
        <v>373</v>
      </c>
      <c r="AG166" t="s">
        <v>374</v>
      </c>
      <c r="AH166" t="s">
        <v>34</v>
      </c>
    </row>
    <row r="167" spans="1:34" ht="45" x14ac:dyDescent="0.25">
      <c r="A167" s="1" t="s">
        <v>347</v>
      </c>
      <c r="B167" s="1" t="str">
        <f>SUBSTITUTE(ListingTable[[#This Row],[Program]],".zip","_case.pptx")</f>
        <v>FSC18099_980115834_20181123_12_case.pptx</v>
      </c>
      <c r="C167" s="83" t="s">
        <v>886</v>
      </c>
      <c r="D167" s="78" t="s">
        <v>599</v>
      </c>
      <c r="E167" s="78" t="s">
        <v>600</v>
      </c>
      <c r="F167" s="2" t="s">
        <v>40</v>
      </c>
      <c r="G167" s="3">
        <v>43427</v>
      </c>
      <c r="H167" s="4">
        <v>43433</v>
      </c>
      <c r="I167" s="30" t="s">
        <v>348</v>
      </c>
      <c r="J167" s="4" t="s">
        <v>349</v>
      </c>
      <c r="K167" s="5" t="s">
        <v>77</v>
      </c>
      <c r="L167" s="5" t="s">
        <v>136</v>
      </c>
      <c r="M167" s="5">
        <v>2</v>
      </c>
      <c r="N167" s="5">
        <v>21</v>
      </c>
      <c r="O167" s="5">
        <v>100</v>
      </c>
      <c r="P167" s="5">
        <v>148</v>
      </c>
      <c r="Q167" s="5">
        <v>943395</v>
      </c>
      <c r="R167" s="5">
        <v>115206</v>
      </c>
      <c r="S167" s="27">
        <v>9433.9500000000007</v>
      </c>
      <c r="T167" s="27">
        <v>1152.06</v>
      </c>
      <c r="U167" s="7">
        <v>0.12211851875407438</v>
      </c>
      <c r="V167" s="7">
        <v>7.8898242400760807E-3</v>
      </c>
      <c r="W167" s="8">
        <v>3.3482142857142856E-2</v>
      </c>
      <c r="X167" s="24">
        <v>0.484375</v>
      </c>
      <c r="Y167" s="24">
        <v>0.7890625</v>
      </c>
      <c r="Z167" s="24">
        <v>0.20089285714285715</v>
      </c>
      <c r="AA167" s="24">
        <v>1.0044642857142858E-2</v>
      </c>
      <c r="AB167" s="24">
        <v>1.9850357322434846</v>
      </c>
      <c r="AC167" s="24">
        <v>0.23645399657710486</v>
      </c>
      <c r="AD167" s="6" t="s">
        <v>57</v>
      </c>
      <c r="AE167" s="6" t="s">
        <v>41</v>
      </c>
      <c r="AF167" t="s">
        <v>325</v>
      </c>
      <c r="AG167" t="s">
        <v>326</v>
      </c>
      <c r="AH167" t="s">
        <v>48</v>
      </c>
    </row>
    <row r="168" spans="1:34" x14ac:dyDescent="0.25">
      <c r="A168" s="1" t="s">
        <v>620</v>
      </c>
      <c r="B168" s="29" t="str">
        <f>SUBSTITUTE(ListingTable[[#This Row],[Program]],".zip","_case.pptx")</f>
        <v>FSC19019_980099638_20190510_12_case.pptx</v>
      </c>
      <c r="C168" s="84" t="s">
        <v>887</v>
      </c>
      <c r="D168" s="78"/>
      <c r="E168" s="78"/>
      <c r="F168" s="2" t="s">
        <v>40</v>
      </c>
      <c r="G168" s="3">
        <v>43595</v>
      </c>
      <c r="H168" s="4">
        <v>43601</v>
      </c>
      <c r="I168" s="30">
        <v>980099638</v>
      </c>
      <c r="J168" s="4" t="s">
        <v>218</v>
      </c>
      <c r="K168" s="5" t="s">
        <v>77</v>
      </c>
      <c r="L168" s="5" t="s">
        <v>219</v>
      </c>
      <c r="M168" s="5">
        <v>2</v>
      </c>
      <c r="N168" s="5">
        <v>9</v>
      </c>
      <c r="O168" s="5">
        <v>384</v>
      </c>
      <c r="P168" s="5">
        <v>205</v>
      </c>
      <c r="Q168" s="5">
        <v>4798578</v>
      </c>
      <c r="R168" s="5">
        <v>207238</v>
      </c>
      <c r="S168" s="27">
        <v>12496.296875</v>
      </c>
      <c r="T168" s="27">
        <v>539.68229166666663</v>
      </c>
      <c r="U168" s="7">
        <v>4.2999999999999997E-2</v>
      </c>
      <c r="V168" s="7">
        <v>0.01</v>
      </c>
      <c r="W168" s="8">
        <v>3.1E-2</v>
      </c>
      <c r="X168" s="24">
        <v>0.20599999999999999</v>
      </c>
      <c r="Y168" s="24">
        <v>0.74</v>
      </c>
      <c r="Z168" s="24">
        <v>7.0000000000000007E-2</v>
      </c>
      <c r="AA168" s="24">
        <v>0.19</v>
      </c>
      <c r="AB168" s="24">
        <v>0.04</v>
      </c>
      <c r="AC168" s="24">
        <v>-0.11</v>
      </c>
      <c r="AD168" s="6" t="s">
        <v>36</v>
      </c>
      <c r="AE168" s="6" t="s">
        <v>641</v>
      </c>
      <c r="AF168" t="s">
        <v>648</v>
      </c>
      <c r="AG168" t="str">
        <f>+_xlfn.CONCAT(ListingTable[[#This Row],[Program2]],ListingTable[[#This Row],[Start date]])</f>
        <v>FSC1901943595</v>
      </c>
      <c r="AH168" t="s">
        <v>48</v>
      </c>
    </row>
    <row r="169" spans="1:34" x14ac:dyDescent="0.25">
      <c r="A169" s="1" t="s">
        <v>448</v>
      </c>
      <c r="B169" s="1" t="str">
        <f>SUBSTITUTE(ListingTable[[#This Row],[Program]],".zip","_case.pptx")</f>
        <v>FSC18091_980143448_20181207_12_case.pptx</v>
      </c>
      <c r="C169" s="83" t="s">
        <v>888</v>
      </c>
      <c r="D169" s="78"/>
      <c r="E169" s="78"/>
      <c r="F169" s="2" t="s">
        <v>40</v>
      </c>
      <c r="G169" s="3">
        <v>43441</v>
      </c>
      <c r="H169" s="4">
        <v>43447</v>
      </c>
      <c r="I169" s="30" t="s">
        <v>367</v>
      </c>
      <c r="J169" s="4" t="s">
        <v>368</v>
      </c>
      <c r="K169" s="5" t="s">
        <v>362</v>
      </c>
      <c r="L169" s="5" t="s">
        <v>363</v>
      </c>
      <c r="M169" s="5">
        <v>4</v>
      </c>
      <c r="N169" s="5">
        <v>90</v>
      </c>
      <c r="O169" s="5">
        <v>76</v>
      </c>
      <c r="P169" s="5">
        <v>29</v>
      </c>
      <c r="Q169" s="5">
        <v>905434</v>
      </c>
      <c r="R169" s="5">
        <v>92910</v>
      </c>
      <c r="S169" s="27">
        <v>11913.605263157895</v>
      </c>
      <c r="T169" s="27">
        <v>1222.5</v>
      </c>
      <c r="U169" s="7">
        <v>0.10261377416796807</v>
      </c>
      <c r="V169" s="7">
        <v>3.1701860642767504E-2</v>
      </c>
      <c r="W169" s="8">
        <v>2.7538726333907058E-2</v>
      </c>
      <c r="X169" s="24">
        <v>0.42685025817555938</v>
      </c>
      <c r="Y169" s="24">
        <v>0.66196213425129091</v>
      </c>
      <c r="Z169" s="24">
        <v>0.32839931153184165</v>
      </c>
      <c r="AA169" s="24">
        <v>9.6385542168674707E-3</v>
      </c>
      <c r="AB169" s="24">
        <v>0.6240091407373124</v>
      </c>
      <c r="AC169" s="24">
        <v>-1.3705834781733983E-2</v>
      </c>
      <c r="AD169" s="6" t="s">
        <v>57</v>
      </c>
      <c r="AE169" s="6" t="s">
        <v>71</v>
      </c>
      <c r="AF169" t="s">
        <v>364</v>
      </c>
      <c r="AG169" t="s">
        <v>440</v>
      </c>
      <c r="AH169" t="s">
        <v>48</v>
      </c>
    </row>
    <row r="170" spans="1:34" ht="75" x14ac:dyDescent="0.25">
      <c r="A170" s="1" t="s">
        <v>173</v>
      </c>
      <c r="B170" s="1" t="str">
        <f>SUBSTITUTE(ListingTable[[#This Row],[Program]],".zip","_case.pptx")</f>
        <v>FSC18012_980096234_20180406_12_case.pptx</v>
      </c>
      <c r="C170" s="83" t="s">
        <v>889</v>
      </c>
      <c r="D170" s="78" t="s">
        <v>694</v>
      </c>
      <c r="E170" s="78" t="s">
        <v>695</v>
      </c>
      <c r="F170" s="2" t="s">
        <v>40</v>
      </c>
      <c r="G170" s="3">
        <v>43196</v>
      </c>
      <c r="H170" s="4">
        <v>43202</v>
      </c>
      <c r="I170" s="30" t="s">
        <v>174</v>
      </c>
      <c r="J170" s="4" t="s">
        <v>175</v>
      </c>
      <c r="K170" s="5" t="s">
        <v>55</v>
      </c>
      <c r="L170" s="5" t="s">
        <v>56</v>
      </c>
      <c r="M170" s="5">
        <v>41</v>
      </c>
      <c r="N170" s="5">
        <v>83</v>
      </c>
      <c r="O170" s="5">
        <v>226</v>
      </c>
      <c r="P170" s="5">
        <v>273</v>
      </c>
      <c r="Q170" s="5">
        <v>2749111</v>
      </c>
      <c r="R170" s="5">
        <v>423323</v>
      </c>
      <c r="S170" s="27">
        <v>12164.20796460177</v>
      </c>
      <c r="T170" s="27">
        <v>1873.1106194690265</v>
      </c>
      <c r="U170" s="7">
        <v>0.15398541564891341</v>
      </c>
      <c r="V170" s="7">
        <v>2.7803492958824613E-2</v>
      </c>
      <c r="W170" s="8">
        <v>2.6757291577045515E-2</v>
      </c>
      <c r="X170" s="24">
        <v>0.91482405575152714</v>
      </c>
      <c r="Y170" s="24">
        <v>0.48421233760646992</v>
      </c>
      <c r="Z170" s="24">
        <v>0.48946055235309299</v>
      </c>
      <c r="AA170" s="24">
        <v>2.6327110040437064E-2</v>
      </c>
      <c r="AB170" s="24">
        <v>2.8959943446739751</v>
      </c>
      <c r="AC170" s="24">
        <v>4.9146323498425841E-3</v>
      </c>
      <c r="AD170" s="6" t="s">
        <v>57</v>
      </c>
      <c r="AE170" s="6" t="s">
        <v>41</v>
      </c>
      <c r="AF170" t="s">
        <v>176</v>
      </c>
      <c r="AG170" t="s">
        <v>177</v>
      </c>
      <c r="AH170" t="s">
        <v>42</v>
      </c>
    </row>
    <row r="171" spans="1:34" x14ac:dyDescent="0.25">
      <c r="A171" s="1" t="s">
        <v>216</v>
      </c>
      <c r="B171" s="1" t="str">
        <f>SUBSTITUTE(ListingTable[[#This Row],[Program]],".zip","_case.pptx")</f>
        <v>FSC18036_37170_20180608_12_case.pptx</v>
      </c>
      <c r="C171" s="83" t="s">
        <v>890</v>
      </c>
      <c r="D171" s="78"/>
      <c r="E171" s="78"/>
      <c r="F171" s="2" t="s">
        <v>40</v>
      </c>
      <c r="G171" s="3">
        <v>43259</v>
      </c>
      <c r="H171" s="4">
        <v>43265</v>
      </c>
      <c r="I171" s="30" t="s">
        <v>217</v>
      </c>
      <c r="J171" s="4" t="s">
        <v>218</v>
      </c>
      <c r="K171" s="5" t="s">
        <v>77</v>
      </c>
      <c r="L171" s="5" t="s">
        <v>219</v>
      </c>
      <c r="M171" s="5">
        <v>2</v>
      </c>
      <c r="N171" s="5">
        <v>9</v>
      </c>
      <c r="O171" s="5">
        <v>589</v>
      </c>
      <c r="P171" s="5">
        <v>0</v>
      </c>
      <c r="Q171" s="5">
        <v>7079248</v>
      </c>
      <c r="R171" s="5">
        <v>214478</v>
      </c>
      <c r="S171" s="27">
        <v>12019.096774193549</v>
      </c>
      <c r="T171" s="27">
        <v>364.13921901528016</v>
      </c>
      <c r="U171" s="7">
        <v>3.0296720781642344E-2</v>
      </c>
      <c r="V171" s="7">
        <v>2.3862991734684789E-2</v>
      </c>
      <c r="W171" s="8">
        <v>2.5736738703339881E-2</v>
      </c>
      <c r="X171" s="24">
        <v>0.57308447937131635</v>
      </c>
      <c r="Y171" s="24">
        <v>0.79567779960707274</v>
      </c>
      <c r="Z171" s="24">
        <v>1.512770137524558E-2</v>
      </c>
      <c r="AA171" s="24">
        <v>0.18919449901768173</v>
      </c>
      <c r="AB171" s="24">
        <v>0.35355952655882822</v>
      </c>
      <c r="AC171" s="24"/>
      <c r="AD171" s="6" t="s">
        <v>36</v>
      </c>
      <c r="AE171" s="6" t="s">
        <v>37</v>
      </c>
      <c r="AF171" t="s">
        <v>210</v>
      </c>
      <c r="AG171" t="s">
        <v>211</v>
      </c>
      <c r="AH171" t="s">
        <v>48</v>
      </c>
    </row>
    <row r="172" spans="1:34" x14ac:dyDescent="0.25">
      <c r="A172" s="1" t="s">
        <v>405</v>
      </c>
      <c r="B172" s="1" t="str">
        <f>SUBSTITUTE(ListingTable[[#This Row],[Program]],".zip","_case.pptx")</f>
        <v>FSC18031_980093167_20180511_12_case.pptx</v>
      </c>
      <c r="C172" s="83" t="s">
        <v>891</v>
      </c>
      <c r="D172" s="78"/>
      <c r="E172" s="78"/>
      <c r="F172" s="2" t="s">
        <v>40</v>
      </c>
      <c r="G172" s="3">
        <v>43231</v>
      </c>
      <c r="H172" s="4">
        <v>43237</v>
      </c>
      <c r="I172" s="30" t="s">
        <v>406</v>
      </c>
      <c r="J172" s="4" t="s">
        <v>407</v>
      </c>
      <c r="K172" s="5" t="s">
        <v>46</v>
      </c>
      <c r="L172" s="5" t="s">
        <v>408</v>
      </c>
      <c r="M172" s="5">
        <v>94</v>
      </c>
      <c r="N172" s="5">
        <v>5</v>
      </c>
      <c r="O172" s="5">
        <v>589</v>
      </c>
      <c r="P172" s="5">
        <v>0</v>
      </c>
      <c r="Q172" s="5">
        <v>7497522</v>
      </c>
      <c r="R172" s="5">
        <v>887088</v>
      </c>
      <c r="S172" s="27">
        <v>12729.239388794567</v>
      </c>
      <c r="T172" s="27">
        <v>1506.0916808149407</v>
      </c>
      <c r="U172" s="7">
        <v>0.11831749209938963</v>
      </c>
      <c r="V172" s="7">
        <v>1.2720028475961926E-2</v>
      </c>
      <c r="W172" s="8">
        <v>2.5185051453330925E-2</v>
      </c>
      <c r="X172" s="24">
        <v>0.79030510922549202</v>
      </c>
      <c r="Y172" s="24">
        <v>0.24535114641632064</v>
      </c>
      <c r="Z172" s="24">
        <v>0.75248239754468316</v>
      </c>
      <c r="AA172" s="24">
        <v>2.1664560389962088E-3</v>
      </c>
      <c r="AB172" s="24">
        <v>9.4443199021232278</v>
      </c>
      <c r="AC172" s="24"/>
      <c r="AD172" s="6" t="s">
        <v>57</v>
      </c>
      <c r="AE172" s="6" t="s">
        <v>71</v>
      </c>
      <c r="AF172" t="s">
        <v>409</v>
      </c>
      <c r="AG172" t="s">
        <v>410</v>
      </c>
      <c r="AH172" t="s">
        <v>48</v>
      </c>
    </row>
  </sheetData>
  <hyperlinks>
    <hyperlink ref="C2" r:id="rId1" display="Case studies\FSC19006_247824_20190308_12_case.pptx" xr:uid="{BCF68A36-24B3-4823-84EB-6A0598EFD2E0}"/>
    <hyperlink ref="C3" r:id="rId2" display="Case studies\FSC18026_729234_20180427_12_case.pptx" xr:uid="{4638765B-34DF-47D2-828E-69C0C29A02AF}"/>
    <hyperlink ref="C4" r:id="rId3" display="Case studies\FSC18124_980135711_20190322_12_case.pptx" xr:uid="{DF3CB075-619A-4D63-A66A-B7E89AEE21CE}"/>
    <hyperlink ref="C5" r:id="rId4" display="Case studies\FSC18025_729234_20180427_12_case.pptx" xr:uid="{5A230DDA-EE5E-4A7C-9B1A-7F6A3831E676}"/>
    <hyperlink ref="C6" r:id="rId5" display="Case studies\FSC18075_57091_20181005_12_case.pptx" xr:uid="{13F592C8-2E15-4017-B542-B49DE9F1A228}"/>
    <hyperlink ref="C7" r:id="rId6" display="Case studies\FSC19022_793064_20190510_12_case.pptx" xr:uid="{4A6781E4-F664-44AD-9F7C-B7F0BA4DAF45}"/>
    <hyperlink ref="C8" r:id="rId7" display="Case studies\FSC19006_151618_20190308_12_case.pptx" xr:uid="{6903E737-DF76-495C-93C4-6BD3FD784E25}"/>
    <hyperlink ref="C9" r:id="rId8" display="Case studies\FSC18090_980120051_20181221_12_case.pptx" xr:uid="{6A855BED-EAD5-4B54-A387-4DF4B8CE88D2}"/>
    <hyperlink ref="C10" r:id="rId9" display="Case studies\FSC18081_728178_20181012_12_case.pptx" xr:uid="{2E6656AA-A8C2-46F0-83D5-1A9A6B88DE91}"/>
    <hyperlink ref="C11" r:id="rId10" display="Case studies\FSC18018_705387_20180525_12_case.pptx" xr:uid="{F33A5DFD-4A9B-4AD2-803E-03FDF57CF22C}"/>
    <hyperlink ref="C12" r:id="rId11" display="Case studies\FSC18123_793064_20190215_12_case.pptx" xr:uid="{7CF30FDB-0684-495F-87AD-173EB1FA6520}"/>
    <hyperlink ref="C13" r:id="rId12" display="Case studies\FSC19004_980157831_20190308_12_case.pptx" xr:uid="{FDA0684C-5F37-4B60-A30D-FF824E0D077A}"/>
    <hyperlink ref="C14" r:id="rId13" display="Case studies\FSC18082_728178_20181012_12_case.pptx" xr:uid="{C22E6C0C-82D4-4BFA-BA5C-40FD652063C2}"/>
    <hyperlink ref="C15" r:id="rId14" display="Case studies\FSC18067_793064_20181102_12_case.pptx" xr:uid="{AC4B05AD-5AA6-43B3-9D5C-BC174DAFA418}"/>
    <hyperlink ref="C16" r:id="rId15" display="Case studies\FSC18082_980109044_20181012_12_case.pptx" xr:uid="{A83F2BE9-7BCA-46EC-AA1A-994C51586AAE}"/>
    <hyperlink ref="C17" r:id="rId16" display="Case studies\FSC18126_980109044_20190125_12_case.pptx" xr:uid="{CF83192B-D6B3-48B7-84E7-8F1E52790AE6}"/>
    <hyperlink ref="C18" r:id="rId17" display="Case studies\FSC18016_608210_20180330_12_case.pptx" xr:uid="{9FCE7811-CEEF-4908-9C53-DE0E6C6C7588}"/>
    <hyperlink ref="C19" r:id="rId18" display="Case studies\FSC18075_57189_20181005_12_case.pptx" xr:uid="{B68B6F0A-729B-47A1-BEEE-6A55EE8FB9EE}"/>
    <hyperlink ref="C20" r:id="rId19" display="Case studies\FSC17142_793064_20180615_12_case.pptx" xr:uid="{9C229CDC-35D8-47F9-A459-5465FA96BB96}"/>
    <hyperlink ref="C21" r:id="rId20" display="Case studies\FSC18090_980120051_20190222_12_case.pptx" xr:uid="{CDCB9CE1-250F-4704-8074-AB8FE5D84507}"/>
    <hyperlink ref="C22" r:id="rId21" display="Case studies\FSC18038_608210_20180601_12_case.pptx" xr:uid="{1901CBA0-41C3-4B00-B4EE-FCCEDE117455}"/>
    <hyperlink ref="C23" r:id="rId22" display="Case studies\FSC18018_190736_20180525_12_case.pptx" xr:uid="{A0CE8BE6-BC58-4B05-8E6E-1876A23285EB}"/>
    <hyperlink ref="C24" r:id="rId23" display="Case studies\FSC19004_980156320_20190308_12_case.pptx" xr:uid="{4B4570FF-9512-441E-979C-9568C1E06836}"/>
    <hyperlink ref="C25" r:id="rId24" display="Case studies\FSC18081_980109044_20181012_12_case.pptx" xr:uid="{D82244E8-6647-47B4-88F6-C08D4946AD2E}"/>
    <hyperlink ref="C26" r:id="rId25" display="Case studies\FSC18025_980075292_20180427_12_case.pptx" xr:uid="{E3EF6833-34BE-455B-A38A-A52EBB6136AC}"/>
    <hyperlink ref="C27" r:id="rId26" display="Case studies\FSC18122_555501_20190125_12_case.pptx" xr:uid="{37016049-06A3-4204-97BA-581EC0D71BF7}"/>
    <hyperlink ref="C28" r:id="rId27" display="Case studies\FSC19004_980141899_20190308_12_case.pptx" xr:uid="{A613A7E6-A784-49DB-922A-BC2C6167D6E0}"/>
    <hyperlink ref="C29" r:id="rId28" display="Case studies\FSC18034_555501_20180601_12_case.pptx" xr:uid="{81237848-F11D-4773-92D9-B0317545E95C}"/>
    <hyperlink ref="C30" r:id="rId29" display="Case studies\FSC18086_608210_20181109_12_case.pptx" xr:uid="{5638C865-FE64-42FF-9BA4-40BEF9AC0717}"/>
    <hyperlink ref="C31" r:id="rId30" display="Case studies\FSC18104_608210_20181019_12_case.pptx" xr:uid="{D04F2529-DD47-4B83-9977-73AA1AC6B06C}"/>
    <hyperlink ref="C32" r:id="rId31" display="Case studies\FSC18121_724211_20190111_12_case.pptx" xr:uid="{9D15B006-91E2-4009-8504-7A65D08C81FA}"/>
    <hyperlink ref="C33" r:id="rId32" display="Case studies\FSC18063_40783_20190315_12_case.pptx" xr:uid="{05C12437-90F9-41ED-95FF-6C1897D73125}"/>
    <hyperlink ref="C34" r:id="rId33" display="Case studies\FSC18132_980176062_20190208_12_case.pptx" xr:uid="{27156358-3452-42F2-BCCD-C7E7260E84DB}"/>
    <hyperlink ref="C35" r:id="rId34" display="Case studies\FSC18115_980059391_20190201_12_case.pptx" xr:uid="{C8732400-787C-4652-ACDF-0AFD7E5FFCD3}"/>
    <hyperlink ref="C36" r:id="rId35" display="Case studies\FSC17142_555508_20180615_12_case.pptx" xr:uid="{457BBD98-3FD8-4C1D-8937-DE261E31D94A}"/>
    <hyperlink ref="C37" r:id="rId36" display="Case studies\FSC18123_555508_20190215_12_case.pptx" xr:uid="{70A5A48B-50DF-48CF-91B1-D9899F442B6C}"/>
    <hyperlink ref="C38" r:id="rId37" display="Case studies\FSC18055_980074723_20190104_12_case.pptx" xr:uid="{A43F38DB-B714-4CAF-B85E-4C57136B7FFF}"/>
    <hyperlink ref="C39" r:id="rId38" display="Case studies\FSC18067_555508_20181102_12_case.pptx" xr:uid="{FD143F63-98D0-44A5-8F42-76C918CD4E74}"/>
    <hyperlink ref="C40" r:id="rId39" display="Case studies\FSC18069_980115793_20181012_12_case.pptx" xr:uid="{3241A85E-3D2D-486D-9347-F21C50A98E62}"/>
    <hyperlink ref="C41" r:id="rId40" display="Case studies\FSC18055_980074723_20190111_12_case.pptx" xr:uid="{C85C3F43-5C9A-4BE7-A50B-1D7BD37BCEE2}"/>
    <hyperlink ref="C42" r:id="rId41" display="Case studies\FSC18030_980088840_20180615_12_case.pptx" xr:uid="{B1681E51-0056-4805-B10C-DD6079B01D40}"/>
    <hyperlink ref="C43" r:id="rId42" display="Case studies\FSC18109_980140786_20190104_12_case.pptx" xr:uid="{B253AA24-5344-4552-98F7-5D4993846011}"/>
    <hyperlink ref="C44" r:id="rId43" display="Case studies\FSC19014_724211_20190405_12_case.pptx" xr:uid="{3236FFDA-789C-46F8-9ECF-CECC5AD641AB}"/>
    <hyperlink ref="C45" r:id="rId44" display="Case studies\FSC18063_40783_20190308_12_case.pptx" xr:uid="{A6C0213B-521A-4D43-B9AA-D00C7F28F2A0}"/>
    <hyperlink ref="C46" r:id="rId45" display="Case studies\FSC19005_980113648_20190503_12_case.pptx" xr:uid="{72CEB6CC-15ED-4285-AFAB-9F33EDDD6351}"/>
    <hyperlink ref="C47" r:id="rId46" display="Case studies\FSC19014_980003636_20190405_12_case.pptx" xr:uid="{2178E4F2-0B27-49AB-8F2D-4B78CF44808C}"/>
    <hyperlink ref="C48" r:id="rId47" display="Case studies\FSC18121_980003636_20190111_12_case.pptx" xr:uid="{B288C456-C9DA-4C3C-B7C0-D14E23E08FCB}"/>
    <hyperlink ref="C49" r:id="rId48" display="Case studies\FSC18055_980074723_20190308_12_case.pptx" xr:uid="{A2962F4F-B3D3-44E9-9A38-CAA421BEABFD}"/>
    <hyperlink ref="C50" r:id="rId49" display="Case studies\FSC19012_787157_20190322_12_case.pptx" xr:uid="{40BBA40F-9471-4BDE-97BA-A805B05859DE}"/>
    <hyperlink ref="C51" r:id="rId50" display="Case studies\FSC18122_555508_20190125_12_case.pptx" xr:uid="{F0D63332-47CA-41FA-8DF9-690CC4D5873D}"/>
    <hyperlink ref="C52" r:id="rId51" display="Case studies\FSC18034_555508_20180601_12_case.pptx" xr:uid="{62985C2C-027C-4CB1-9681-4E0E1626C3DE}"/>
    <hyperlink ref="C53" r:id="rId52" display="Case studies\FSC18103_980074723_20181102_12_case.pptx" xr:uid="{FF3FC9D0-F21D-4528-8BBC-030E7623F116}"/>
    <hyperlink ref="C54" r:id="rId53" display="Case studies\FSC18098_980114984_20181102_12_case.pptx" xr:uid="{F34F410E-0C2E-4976-BAA2-A8113A59F249}"/>
    <hyperlink ref="C55" r:id="rId54" display="Case studies\FSC18055_980074723_20181102_12_case.pptx" xr:uid="{7AECEB94-D42B-421C-8BF9-9F31C882C730}"/>
    <hyperlink ref="C56" r:id="rId55" display="Case studies\FSC18124_980176058_20190322_12_case.pptx" xr:uid="{6E1F5CBB-E52F-4169-804D-B857B59E3331}"/>
    <hyperlink ref="C57" r:id="rId56" display="Case studies\FSC18130_980169089_20190412_12_case.pptx" xr:uid="{A8311CEB-2313-49A9-8EEE-9E2EF3B38352}"/>
    <hyperlink ref="C58" r:id="rId57" display="Case studies\FSC18121_491913_20190111_12_case.pptx" xr:uid="{AEB70FFF-159F-4980-B4F7-30D4C6EED2A8}"/>
    <hyperlink ref="C59" r:id="rId58" display="Case studies\FSC18115_980059393_20190201_12_case.pptx" xr:uid="{B5E97DEF-4689-4960-BDD4-9862FB902B28}"/>
    <hyperlink ref="C60" r:id="rId59" display="Case studies\FSC18093_944440_20181005_12_case.pptx" xr:uid="{B6196EB6-C522-41C4-A96F-AC77B4FDDA99}"/>
    <hyperlink ref="C61" r:id="rId60" display="Case studies\FSC18018_709743_20180525_12_case.pptx" xr:uid="{8FA7A467-EB90-45C4-B220-E27F4C458368}"/>
    <hyperlink ref="C62" r:id="rId61" display="Case studies\FSC18130_980169088_20190412_12_case.pptx" xr:uid="{7A1A3C2A-E5F8-49B3-9F6E-1B0AC8E25E57}"/>
    <hyperlink ref="C63" r:id="rId62" display="Case studies\FSC18098_980114984_20190111_12_case.pptx" xr:uid="{5C2D4109-2324-467F-A282-E7F05817DC99}"/>
    <hyperlink ref="C64" r:id="rId63" display="Case studies\FSC18084_980139499_20181019_12_case.pptx" xr:uid="{A10CD025-F189-4867-B7DF-F66E81EA8F7E}"/>
    <hyperlink ref="C65" r:id="rId64" display="Case studies\FSC18055_980074723_20181109_12_case.pptx" xr:uid="{CF955742-ACB2-4D5B-B07A-E03467AA67E8}"/>
    <hyperlink ref="C66" r:id="rId65" display="Case studies\FSC18108_567934_20181207_12_case.pptx" xr:uid="{40960EA9-7E7F-4DC3-A462-4B335AC9272A}"/>
    <hyperlink ref="C67" r:id="rId66" display="Case studies\FSC18024_980011652_20180413_12_case.pptx" xr:uid="{CD69D63C-3430-469D-B0A1-253F96C5AB60}"/>
    <hyperlink ref="C68" r:id="rId67" display="Case studies\FSC18026_980075292_20180427_12_case.pptx" xr:uid="{A93DF5D9-DFA8-4ED4-A9FD-3405A983D6A2}"/>
    <hyperlink ref="C69" r:id="rId68" display="Case studies\FSC18131_371722_20190315_12_case.pptx" xr:uid="{BA3BF559-5CC1-4AA8-B378-354927C10A1C}"/>
    <hyperlink ref="C70" r:id="rId69" display="Case studies\FSC19014_491913_20190405_12_case.pptx" xr:uid="{A921C667-3F19-4354-B17D-235AC630B97F}"/>
    <hyperlink ref="C71" r:id="rId70" display="Case studies\FSC18098_980114984_20181207_12_case.pptx" xr:uid="{E8C960AF-E44D-4214-9514-A99CB3D16F63}"/>
    <hyperlink ref="C72" r:id="rId71" display="Case studies\FSC18022_980011652_20180406_12_case.pptx" xr:uid="{051B98E4-6C7E-4EEE-9009-0D956F9DAADD}"/>
    <hyperlink ref="C73" r:id="rId72" display="Case studies\FSC18016_675774_20180330_12_case.pptx" xr:uid="{D72FAE32-2E71-4F56-A106-AB402F7B8AEA}"/>
    <hyperlink ref="C74" r:id="rId73" display="Case studies\FSC19012_980139499_20190322_12_case.pptx" xr:uid="{2C08A168-6FEA-4561-82FE-5BBA376EAEC4}"/>
    <hyperlink ref="C75" r:id="rId74" display="Case studies\FSC18075_567934_20181005_12_case.pptx" xr:uid="{E7EDE156-71A7-41A8-8EEA-919E0DF17653}"/>
    <hyperlink ref="C76" r:id="rId75" display="Case studies\FSC18062_567934_20181005_12_case.pptx" xr:uid="{8B185807-1887-4533-96CA-7576F2189BB8}"/>
    <hyperlink ref="C77" r:id="rId76" display="Case studies\FSC18093_11808_20181005_12_case.pptx" xr:uid="{1DAE58F4-6C5E-405D-BE41-8514AA6A2FC0}"/>
    <hyperlink ref="C78" r:id="rId77" display="Case studies\FSC18049_980011652_20180622_12_case.pptx" xr:uid="{E1D52E91-0C75-49BF-BB35-F5030448D06D}"/>
    <hyperlink ref="C79" r:id="rId78" display="Case studies\FSC18096_980070881_20181207_12_case.pptx" xr:uid="{9360ED0A-3344-4BE6-AE1F-885BC4296634}"/>
    <hyperlink ref="C80" r:id="rId79" display="Case studies\FSC18112_980011652_20181214_12_case.pptx" xr:uid="{4E39E455-3389-4035-B42E-82281D98F7B2}"/>
    <hyperlink ref="C81" r:id="rId80" display="Case studies\FSC18101_724211_20181115_12_case.pptx" xr:uid="{16AF064A-CC66-4FBF-B6E9-3C50AA750134}"/>
    <hyperlink ref="C82" r:id="rId81" display="Case studies\FSC18109_567934_20190104_12_case.pptx" xr:uid="{84AD633C-109A-448A-8897-A8BF4A5FEA23}"/>
    <hyperlink ref="C83" r:id="rId82" display="Case studies\FSC18015_567934_20180330_12_case.pptx" xr:uid="{DFAB9989-3AF8-46FB-A115-01E101A175CB}"/>
    <hyperlink ref="C84" r:id="rId83" display="Case studies\FSC18084_567934_20181019_12_case.pptx" xr:uid="{0334916C-5DAA-4199-B96F-63A3426F0474}"/>
    <hyperlink ref="C85" r:id="rId84" display="Case studies\FSC19019_944440_20190510_12_case.pptx" xr:uid="{870A281F-15C7-4415-9292-1FD080CB5E1E}"/>
    <hyperlink ref="C86" r:id="rId85" display="Case studies\FSC18083_980114984_20181109_12_case.pptx" xr:uid="{8C1BEA92-D75D-4A3F-9F35-54AB32E63F04}"/>
    <hyperlink ref="C87" r:id="rId86" display="Case studies\FSC18028_839559_20180615_12_case.pptx" xr:uid="{21CF83AB-257A-4055-8DD8-B9822A9C0E0D}"/>
    <hyperlink ref="C88" r:id="rId87" display="Case studies\FSC18088_850799_20181026_12_case.pptx" xr:uid="{979B1191-EF14-4AF8-85C1-AB19D4BD4593}"/>
    <hyperlink ref="C89" r:id="rId88" display="Case studies\FSC18095_990694_20181123_12_case.pptx" xr:uid="{64C815C6-BF5E-4EC1-95C3-BDAB4CC1977F}"/>
    <hyperlink ref="C90" r:id="rId89" display="Case studies\FSC18063_713998_20190308_12_case.pptx" xr:uid="{4F5F4F22-D3E8-4E63-84FC-B1B7320644DE}"/>
    <hyperlink ref="C91" r:id="rId90" display="Case studies\FSC18015_567934_20180518_12_case.pptx" xr:uid="{D700EAC2-DB14-4A86-8244-DC2E86E6FD81}"/>
    <hyperlink ref="C92" r:id="rId91" display="Case studies\FSC18054_434023_20181130_12_case.pptx" xr:uid="{AA8B455A-D38A-4B13-92DF-E756C7E01936}"/>
    <hyperlink ref="C93" r:id="rId92" display="Case studies\FSC18113_281210_20181207_12_case.pptx" xr:uid="{4C101D8A-0505-4614-ADD9-A9350BA58CDF}"/>
    <hyperlink ref="C94" r:id="rId93" display="Case studies\FSC18113_567934_20181123_12_case.pptx" xr:uid="{92771A0D-EEA5-43A5-831D-AFB8072B8618}"/>
    <hyperlink ref="C95" r:id="rId94" display="Case studies\FSC18028_839559_20180504_12_case.pptx" xr:uid="{0C49DAB7-12C5-4160-810B-701841CDAC6F}"/>
    <hyperlink ref="C96" r:id="rId95" display="Case studies\FSC18109_980140785_20190104_12_case.pptx" xr:uid="{43B13257-085F-45B2-BBEF-455BD35BCB9B}"/>
    <hyperlink ref="C97" r:id="rId96" display="Case studies\FSC18087_980136022_20181005_12_case.pptx" xr:uid="{9D1D107C-17F8-4656-BFD6-642129DD11D7}"/>
    <hyperlink ref="C98" r:id="rId97" display="Case studies\FSC18010_788103_20180420_12_case.pptx" xr:uid="{C0E094B7-8ACA-4BEE-9FA2-DD12B137922A}"/>
    <hyperlink ref="C99" r:id="rId98" display="Case studies\FSC18036_944440_20180608_12_case.pptx" xr:uid="{C4911A6A-DDFC-40FE-9B5F-92302A099895}"/>
    <hyperlink ref="C100" r:id="rId99" display="Case studies\FSC18023_850799_20180406_12_case.pptx" xr:uid="{2DBB25C1-4226-4E92-B0E6-6982D220D588}"/>
    <hyperlink ref="C101" r:id="rId100" display="Case studies\FSC18125_92801_20190125_12_case.pptx" xr:uid="{D0A3BA4D-7DF5-447E-9A5E-5DD993B1780C}"/>
    <hyperlink ref="C102" r:id="rId101" display="Case studies\FSC18023_850799_20180420_12_case.pptx" xr:uid="{4E4D40C6-462E-4B3F-AE08-29AE1380F315}"/>
    <hyperlink ref="C103" r:id="rId102" display="Case studies\FSC18114_980058839_20190111_12_case.pptx" xr:uid="{3743BB17-35E1-44EC-A4E1-E54C36C04DAD}"/>
    <hyperlink ref="C104" r:id="rId103" display="Case studies\FSC18025_980002024_20180427_12_case.pptx" xr:uid="{FE11EEFD-C422-47DB-B87C-FEA9665E386A}"/>
    <hyperlink ref="C105" r:id="rId104" display="Case studies\FSC18026_980010669_20180427_12_case.pptx" xr:uid="{0E090A56-06F5-45A9-9C67-D0A75D81FB78}"/>
    <hyperlink ref="C106" r:id="rId105" display="Case studies\FSC18113_281210_20181123_12_case.pptx" xr:uid="{A65792FF-976B-4F08-8F4D-D19CEFF49196}"/>
    <hyperlink ref="C107" r:id="rId106" display="Case studies\FSC18043_567934_20180601_12_case.pptx" xr:uid="{1E0794C7-3484-4F3B-A2AA-A2EF2AE9FB28}"/>
    <hyperlink ref="C108" r:id="rId107" display="Case studies\FSC18114_567934_20190111_12_case.pptx" xr:uid="{DADAFB16-D001-4D1C-820B-B910EC0ADE5B}"/>
    <hyperlink ref="C109" r:id="rId108" display="Case studies\FSC18094_605629_20181123_12_case.pptx" xr:uid="{9E94BCC4-23F3-44A2-AC0F-46886B0A6085}"/>
    <hyperlink ref="C110" r:id="rId109" display="Case studies\FSC18087_980136022_20190419_12_case.pptx" xr:uid="{2B6DED11-3B38-4A6F-99E0-2B07F0198E09}"/>
    <hyperlink ref="C111" r:id="rId110" display="Case studies\FSC19010_980186688_20190510_12_case.pptx" xr:uid="{BF419D1B-519D-473E-8A4A-FFE66D06C225}"/>
    <hyperlink ref="C112" r:id="rId111" display="Case studies\FSC18041_687988_20180615_12_case.pptx" xr:uid="{65D31ABE-E031-40E0-83F1-26857634F265}"/>
    <hyperlink ref="C113" r:id="rId112" display="Case studies\FSC18099_683073_20181123_12_case.pptx" xr:uid="{411037F8-8A58-4E81-9DDB-41DE35D20FE3}"/>
    <hyperlink ref="C114" r:id="rId113" display="Case studies\FSC18114_980116254_20190111_12_case.pptx" xr:uid="{0CEB541B-C63F-406A-BB46-B6E0019F495D}"/>
    <hyperlink ref="C115" r:id="rId114" display="Case studies\FSC18120_226365_20190111_12_case.pptx" xr:uid="{A63A153B-DDA7-4007-A4E3-B2B769EA1B31}"/>
    <hyperlink ref="C116" r:id="rId115" display="Case studies\FSC18129_980125405_20190405_12_case.pptx" xr:uid="{44E3F194-4F35-4AA1-85DE-28B1B05B9A72}"/>
    <hyperlink ref="C117" r:id="rId116" display="Case studies\FSC19019_980172822_20190510_12_case.pptx" xr:uid="{F63C4F70-CCA6-4430-BD45-6468CF377B85}"/>
    <hyperlink ref="C118" r:id="rId117" display="Case studies\FSC18054_902467_20181130_12_case.pptx" xr:uid="{D92D42C7-8EA7-4B14-B01D-83673EACAFE4}"/>
    <hyperlink ref="C119" r:id="rId118" display="Case studies\FSC18096_980126238_20181207_12_case.pptx" xr:uid="{F2CF08D2-9785-4ED5-B1A2-E51B6C703D36}"/>
    <hyperlink ref="C120" r:id="rId119" display="Case studies\FSC18041_469800_20180615_12_case.pptx" xr:uid="{CDC4A71D-B485-446C-BC40-2D305F69BCBF}"/>
    <hyperlink ref="C121" r:id="rId120" display="Case studies\FSC18041_70690_20180615_12_case.pptx" xr:uid="{8D0B82F2-4D37-4F9B-9AEE-4307E156F206}"/>
    <hyperlink ref="C122" r:id="rId121" display="Case studies\FSC18088_92801_20181026_12_case.pptx" xr:uid="{2B5AE5F5-1CB4-4BFA-A828-EB87468BA24D}"/>
    <hyperlink ref="C123" r:id="rId122" display="Case studies\FSC18129_980125399_20190405_12_case.pptx" xr:uid="{59928D76-9963-4515-A647-87BE6D10C80B}"/>
    <hyperlink ref="C124" r:id="rId123" display="Case studies\FSC18107_92801_20181207_12_case.pptx" xr:uid="{A6456B55-F22C-4563-83DE-5A5D002CAD0A}"/>
    <hyperlink ref="C125" r:id="rId124" display="Case studies\FSC18131_788103_20190315_12_case.pptx" xr:uid="{858E35C6-4584-46A1-8B3F-464B344BFB46}"/>
    <hyperlink ref="C126" r:id="rId125" display="Case studies\FSC18036_66683_20180608_12_case.pptx" xr:uid="{94497596-1E62-466E-A62A-18B6B4D57B15}"/>
    <hyperlink ref="C127" r:id="rId126" display="Case studies\FSC18108_326282_20181207_12_case.pptx" xr:uid="{A708285C-0BEA-4662-A512-FE75CFE5DA62}"/>
    <hyperlink ref="C128" r:id="rId127" display="Case studies\FSC18011_980026672_20180330_12_case.pptx" xr:uid="{DE4760F2-5D1D-4838-B337-CACCD7AB0252}"/>
    <hyperlink ref="C129" r:id="rId128" display="Case studies\FSC18011_351889_20180330_12_case.pptx" xr:uid="{25869346-0016-4B81-9B9F-20BD59A0DCF4}"/>
    <hyperlink ref="C130" r:id="rId129" display="Case studies\FSC18036_283398_20180608_12_case.pptx" xr:uid="{4F24CFEE-2124-4622-B8D4-72334B0FCBE8}"/>
    <hyperlink ref="C131" r:id="rId130" display="Case studies\FSC18063_713998_20190315_12_case.pptx" xr:uid="{1EE39A3C-8085-4145-B63F-B00DEC3B7789}"/>
    <hyperlink ref="C132" r:id="rId131" display="Case studies\FSC18100_850895_20181115_12_case.pptx" xr:uid="{E5CF76F5-65C4-4B68-A9DB-94112D4DC4A1}"/>
    <hyperlink ref="C133" r:id="rId132" display="Case studies\FSC19001_980160795_20190329_12_case.pptx" xr:uid="{C938FC2C-23CF-4CE5-99EC-74CA56B47FAB}"/>
    <hyperlink ref="C134" r:id="rId133" display="Case studies\FSC18015_326282_20180330_12_case.pptx" xr:uid="{05701E95-EC23-475A-92CF-D61EC4E13873}"/>
    <hyperlink ref="C135" r:id="rId134" display="Case studies\FSC18063_980009095_20190315_12_case.pptx" xr:uid="{37AAF9E4-C8A1-43FF-B5D2-D5D1E2591DC3}"/>
    <hyperlink ref="C136" r:id="rId135" display="Case studies\FSC18062_326282_20190405_12_case.pptx" xr:uid="{DE345BA7-54AA-404D-8D3D-27E077545D5E}"/>
    <hyperlink ref="C137" r:id="rId136" display="Case studies\FSC19019_980158538_20190510_12_case.pptx" xr:uid="{DCADD091-E55C-419F-8A12-52696828DD6B}"/>
    <hyperlink ref="C138" r:id="rId137" display="Case studies\FSC18015_326282_20180518_12_case.pptx" xr:uid="{766E52B3-D912-4947-BDDB-B9408F387A77}"/>
    <hyperlink ref="C139" r:id="rId138" display="Case studies\FSC18036_292255_20180608_12_case.pptx" xr:uid="{7BA3CB2A-78A5-4D4C-89BE-43056ADBC1AD}"/>
    <hyperlink ref="C140" r:id="rId139" display="Case studies\FSC18041_105782_20180615_12_case.pptx" xr:uid="{D74C7D31-4778-44EA-9B42-4032631B2D74}"/>
    <hyperlink ref="C141" r:id="rId140" display="Case studies\FSC18019_105119_20180406_12_case.pptx" xr:uid="{4294FA49-9752-4E3C-BFBF-8A7333077F99}"/>
    <hyperlink ref="C142" r:id="rId141" display="Case studies\FSC18115_326282_20190201_12_case.pptx" xr:uid="{6C8703B3-5B30-4FD3-BE50-201999F6562E}"/>
    <hyperlink ref="C143" r:id="rId142" display="Case studies\FSC18043_281210_20180601_12_case.pptx" xr:uid="{C8619AEF-62C5-457E-B46A-8ABF330C5959}"/>
    <hyperlink ref="C144" r:id="rId143" display="Case studies\FSC18113_567934_20181207_12_case.pptx" xr:uid="{81A7AD56-7C86-4A65-9DAE-BF9B66305BAC}"/>
    <hyperlink ref="C145" r:id="rId144" display="Case studies\FSC18062_326282_20181005_12_case.pptx" xr:uid="{85FFDCF2-6763-463A-A64B-85F228240205}"/>
    <hyperlink ref="C146" r:id="rId145" display="Case studies\FSC18038_980116456_20180601_12_case.pptx" xr:uid="{62AF0DFA-EE1C-4399-BF8B-D271DBB0CB66}"/>
    <hyperlink ref="C147" r:id="rId146" display="Case studies\FSC18027_271174_20180413_12_case.pptx" xr:uid="{EB6C8819-6F2C-4473-86B9-80B414EBE90B}"/>
    <hyperlink ref="C148" r:id="rId147" display="Case studies\FSC17141_980068089_20180518_12_case.pptx" xr:uid="{8117F580-2AEE-43ED-919F-1A1CFE78C9E3}"/>
    <hyperlink ref="C149" r:id="rId148" display="Case studies\FSC18063_980009095_20190308_12_case.pptx" xr:uid="{EFCB7AF5-6356-4819-B31F-323ED3E9F11E}"/>
    <hyperlink ref="C150" r:id="rId149" display="Case studies\FSC19019_980075462_20190510_12_case.pptx" xr:uid="{A013AF3D-D7C2-4C90-B967-3B52524C9AF4}"/>
    <hyperlink ref="C151" r:id="rId150" display="Case studies\FSC18091_980000614_20181123_12_case.pptx" xr:uid="{7B79D6FA-5892-40F3-8F29-FE622179A9E6}"/>
    <hyperlink ref="C152" r:id="rId151" display="Case studies\FSC18099_980095235_20181123_12_case.pptx" xr:uid="{52EDFBB9-EDC0-4321-9E3E-B7FC94A183DA}"/>
    <hyperlink ref="C153" r:id="rId152" display="Case studies\FSC18099_980095236_20181123_12_case.pptx" xr:uid="{42A0AF21-32E6-449D-BC84-9492677D0BAA}"/>
    <hyperlink ref="C154" r:id="rId153" display="Case studies\FSC18120_980126238_20190111_12_case.pptx" xr:uid="{C5830F0B-0A97-44EF-A24C-6685C0E99F4F}"/>
    <hyperlink ref="C155" r:id="rId154" display="Case studies\FSC19001_11260_20190329_12_case.pptx" xr:uid="{40062A68-911F-4E6B-8FCA-4694F346D188}"/>
    <hyperlink ref="C156" r:id="rId155" display="Case studies\FSC18109_980140787_20190104_12_case.pptx" xr:uid="{6ECAFB45-68DF-4768-978F-5E2821F32EC8}"/>
    <hyperlink ref="C157" r:id="rId156" display="Case studies\FSC18075_57116_20181005_12_case.pptx" xr:uid="{23D38BA9-883B-4519-BD8D-7AEC4A5C495B}"/>
    <hyperlink ref="C158" r:id="rId157" display="Case studies\FSC18035_850895_20180518_12_case.pptx" xr:uid="{D88CFA69-5F46-45DB-AEE4-F14F109D78E3}"/>
    <hyperlink ref="C159" r:id="rId158" display="Case studies\FSC18091_980000614_20181207_12_case.pptx" xr:uid="{193FCDF3-E912-40EF-AB42-D79AE77C1FBB}"/>
    <hyperlink ref="C160" r:id="rId159" display="Case studies\FSC18130_980169086_20190412_12_case.pptx" xr:uid="{02C2F677-CA63-44D5-8655-D253877E4A43}"/>
    <hyperlink ref="C161" r:id="rId160" display="Case studies\FSC17141_980081302_20180518_12_case.pptx" xr:uid="{83C40585-6432-446C-81D6-C58939108B9C}"/>
    <hyperlink ref="C162" r:id="rId161" display="Case studies\FSC19001_825714_20190329_12_case.pptx" xr:uid="{A0099A59-EB4D-4F89-8ED6-73F6BA8EE123}"/>
    <hyperlink ref="C163" r:id="rId162" display="Case studies\FSC18114_980116253_20190111_12_case.pptx" xr:uid="{8C288517-D60C-4BDA-8DD6-19055E15A286}"/>
    <hyperlink ref="C164" r:id="rId163" display="Case studies\FSC18091_980143448_20181123_12_case.pptx" xr:uid="{2F429820-3F00-4D6D-925E-D91F6AE8C66A}"/>
    <hyperlink ref="C165" r:id="rId164" display="Case studies\FSC18036_846162_20180608_12_case.pptx" xr:uid="{6B4FC2A8-B73C-425C-AEFF-292DE4B9806C}"/>
    <hyperlink ref="C166" r:id="rId165" display="Case studies\FSC18041_151141_20180615_12_case.pptx" xr:uid="{4E6DE669-8C3B-445C-A1AD-002EC8EF5F47}"/>
    <hyperlink ref="C167" r:id="rId166" display="Case studies\FSC18099_980115834_20181123_12_case.pptx" xr:uid="{E7EF45EB-6DB9-4173-AC06-A646473930BC}"/>
    <hyperlink ref="C168" r:id="rId167" display="Case studies\FSC19019_980099638_20190510_12_case.pptx" xr:uid="{64ED2BE2-E48B-4DF8-BB81-0FE5000B1F72}"/>
    <hyperlink ref="C169" r:id="rId168" display="Case studies\FSC18091_980143448_20181207_12_case.pptx" xr:uid="{ABD91078-74AA-4EAF-B1E2-6F0572D1B8BD}"/>
    <hyperlink ref="C170" r:id="rId169" display="Case studies\FSC18012_980096234_20180406_12_case.pptx" xr:uid="{090C7B10-91AC-4FCB-9C81-FF90B1637F1A}"/>
    <hyperlink ref="C171" r:id="rId170" display="Case studies\FSC18036_37170_20180608_12_case.pptx" xr:uid="{410E7149-B50A-4519-9432-8203C591E688}"/>
    <hyperlink ref="C172" r:id="rId171" display="Case studies\FSC18031_980093167_20180511_12_case.pptx" xr:uid="{4F681DAB-A1F2-4635-BCD6-F9D5F93FED04}"/>
  </hyperlinks>
  <pageMargins left="0.7" right="0.7" top="0.75" bottom="0.75" header="0.3" footer="0.3"/>
  <pageSetup orientation="portrait" horizontalDpi="4294967295" verticalDpi="4294967295" r:id="rId172"/>
  <tableParts count="1">
    <tablePart r:id="rId1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Ashleigh Covello-Phillips</dc:creator>
  <cp:lastModifiedBy>Jay Yu</cp:lastModifiedBy>
  <dcterms:created xsi:type="dcterms:W3CDTF">2019-08-13T19:08:23Z</dcterms:created>
  <dcterms:modified xsi:type="dcterms:W3CDTF">2020-03-09T20:50:57Z</dcterms:modified>
</cp:coreProperties>
</file>